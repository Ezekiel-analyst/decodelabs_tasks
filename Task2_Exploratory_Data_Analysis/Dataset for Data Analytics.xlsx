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A2B3359-09DA-45AF-8530-09102168239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ataset for Data Analytics" sheetId="1" r:id="rId1"/>
    <sheet name="Change Log" sheetId="3" state="hidden" r:id="rId2"/>
    <sheet name="EDA Analysis" sheetId="4" r:id="rId3"/>
    <sheet name="Summary Reference" sheetId="2" r:id="rId4"/>
  </sheets>
  <definedNames>
    <definedName name="_xlnm._FilterDatabase" localSheetId="0" hidden="1">'Dataset for Data Analytics'!$L$1:$L$1201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6" i="4" l="1"/>
  <c r="B15" i="4"/>
  <c r="B14" i="4"/>
  <c r="B13" i="4"/>
  <c r="H3" i="4"/>
  <c r="E9" i="4"/>
  <c r="E8" i="4"/>
  <c r="E7" i="4"/>
  <c r="E6" i="4"/>
  <c r="E5" i="4"/>
  <c r="E4" i="4"/>
  <c r="E3" i="4"/>
  <c r="E2" i="4"/>
  <c r="D9" i="4"/>
  <c r="D8" i="4"/>
  <c r="D7" i="4"/>
  <c r="D6" i="4"/>
  <c r="D5" i="4"/>
  <c r="D4" i="4"/>
  <c r="D3" i="4"/>
  <c r="D2" i="4"/>
  <c r="C9" i="4"/>
  <c r="C8" i="4"/>
  <c r="C7" i="4"/>
  <c r="C6" i="4"/>
  <c r="C5" i="4"/>
  <c r="C4" i="4"/>
  <c r="C3" i="4"/>
  <c r="C2" i="4"/>
  <c r="B9" i="4"/>
  <c r="B8" i="4"/>
  <c r="B7" i="4"/>
  <c r="B6" i="4"/>
  <c r="B5" i="4"/>
  <c r="B4" i="4"/>
  <c r="B3" i="4"/>
  <c r="B2" i="4"/>
  <c r="B9" i="2" a="1"/>
  <c r="B9" i="2" s="1"/>
  <c r="B8" i="2"/>
  <c r="B7" i="2"/>
  <c r="H6" i="2"/>
  <c r="E6" i="2"/>
  <c r="B6" i="2"/>
  <c r="H5" i="2"/>
  <c r="E5" i="2"/>
  <c r="B5" i="2"/>
  <c r="H4" i="2"/>
  <c r="E4" i="2"/>
  <c r="B4" i="2"/>
  <c r="H3" i="2"/>
  <c r="E3" i="2"/>
  <c r="B3" i="2"/>
  <c r="H2" i="2"/>
  <c r="E2" i="2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<sst xmlns="http://schemas.openxmlformats.org/spreadsheetml/2006/main" count="10880" uniqueCount="4330">
  <si>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</si>
  <si>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</si>
  <si>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</si>
  <si>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</si>
  <si>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</si>
  <si>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</si>
  <si>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</si>
  <si>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</si>
  <si>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</si>
  <si>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</si>
  <si>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</si>
  <si>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</si>
  <si>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</si>
  <si>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</si>
  <si>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</si>
  <si>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</si>
  <si>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</si>
  <si>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</si>
  <si>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</si>
  <si>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</si>
  <si>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</si>
  <si>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</si>
  <si>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</si>
  <si>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</si>
  <si>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</si>
  <si>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</si>
  <si>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</si>
  <si>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</si>
  <si>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</si>
  <si>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</si>
  <si>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</si>
  <si>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</si>
  <si>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</si>
  <si>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</si>
  <si>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</si>
  <si>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</si>
  <si>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</si>
  <si>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</si>
  <si>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</si>
  <si>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</si>
  <si>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</si>
  <si>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</si>
  <si>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</si>
  <si>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</si>
  <si>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</si>
  <si>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</si>
  <si>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</si>
  <si>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</si>
  <si>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</si>
  <si>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</si>
  <si>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</si>
  <si>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</si>
  <si>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</si>
  <si>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</si>
  <si>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</si>
  <si>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</si>
  <si>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</si>
  <si>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</si>
  <si>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</si>
  <si>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</si>
  <si>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</si>
  <si>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</si>
  <si>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</si>
  <si>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</si>
  <si>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</si>
  <si>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</si>
  <si>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</si>
  <si>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</si>
  <si>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</si>
  <si>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</si>
  <si>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</si>
  <si>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</si>
  <si>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</si>
  <si>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</si>
  <si>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</si>
  <si>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</si>
  <si>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</si>
  <si>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</si>
  <si>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</si>
  <si>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</si>
  <si>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</si>
  <si>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</si>
  <si>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</si>
  <si>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</si>
  <si>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</si>
  <si>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</si>
  <si>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</si>
  <si>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</si>
  <si>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</si>
  <si>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</si>
  <si>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</si>
  <si>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</si>
  <si>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</si>
  <si>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</si>
  <si>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</si>
  <si>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</si>
  <si>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</si>
  <si>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</si>
  <si>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</si>
  <si>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</si>
  <si>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</si>
  <si>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</si>
  <si>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</si>
  <si>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</si>
  <si>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</si>
  <si>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</si>
  <si>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</si>
  <si>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</si>
  <si>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</si>
  <si>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</si>
  <si>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</si>
  <si>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</si>
  <si>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</si>
  <si>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</si>
  <si>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</si>
  <si>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</si>
  <si>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</si>
  <si>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</si>
  <si>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</si>
  <si>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</si>
  <si>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</si>
  <si>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</si>
  <si>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</si>
  <si>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</si>
  <si>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</si>
  <si>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</si>
  <si>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</si>
  <si>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</si>
  <si>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</si>
  <si>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</si>
  <si>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</si>
  <si>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</si>
  <si>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</si>
  <si>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</si>
  <si>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</si>
  <si>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</si>
  <si>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</si>
  <si>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</si>
  <si>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</si>
  <si>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</si>
  <si>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</si>
  <si>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</si>
  <si>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</si>
  <si>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</si>
  <si>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</si>
  <si>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</si>
  <si>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</si>
  <si>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</si>
  <si>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</si>
  <si>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</si>
  <si>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</si>
  <si>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</si>
  <si>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</si>
  <si>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</si>
  <si>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</si>
  <si>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</si>
  <si>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</si>
  <si>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</si>
  <si>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</si>
  <si>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</si>
  <si>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</si>
  <si>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</si>
  <si>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</si>
  <si>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</si>
  <si>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</si>
  <si>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</si>
  <si>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</si>
  <si>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</si>
  <si>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</si>
  <si>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</si>
  <si>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</si>
  <si>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</si>
  <si>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</si>
  <si>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</si>
  <si>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</si>
  <si>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</si>
  <si>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</si>
  <si>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</si>
  <si>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</si>
  <si>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</si>
  <si>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</si>
  <si>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</si>
  <si>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</si>
  <si>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</si>
  <si>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</si>
  <si>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</si>
  <si>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</si>
  <si>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</si>
  <si>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</si>
  <si>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</si>
  <si>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</si>
  <si>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</si>
  <si>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</si>
  <si>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</si>
  <si>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</si>
  <si>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</si>
  <si>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</si>
  <si>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</si>
  <si>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</si>
  <si>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</si>
  <si>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</si>
  <si>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</si>
  <si>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</si>
  <si>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</si>
  <si>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</si>
  <si>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</si>
  <si>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</si>
  <si>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</si>
  <si>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</si>
  <si>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</si>
  <si>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</si>
  <si>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</si>
  <si>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</si>
  <si>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</si>
  <si>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</si>
  <si>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</si>
  <si>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</si>
  <si>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</si>
  <si>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</si>
  <si>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</si>
  <si>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</si>
  <si>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</si>
  <si>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</si>
  <si>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</si>
  <si>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</si>
  <si>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</si>
  <si>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</si>
  <si>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</si>
  <si>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</si>
  <si>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</si>
  <si>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</si>
  <si>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</si>
  <si>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</si>
  <si>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</si>
  <si>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</si>
  <si>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</si>
  <si>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</si>
  <si>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</si>
  <si>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</si>
  <si>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</si>
  <si>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</si>
  <si>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</si>
  <si>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</si>
  <si>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</si>
  <si>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</si>
  <si>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</si>
  <si>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</si>
  <si>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</si>
  <si>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</si>
  <si>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</si>
  <si>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</si>
  <si>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</si>
  <si>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</si>
  <si>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</si>
  <si>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</si>
  <si>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</si>
  <si>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</si>
  <si>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</si>
  <si>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</si>
  <si>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</si>
  <si>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</si>
  <si>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</si>
  <si>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</si>
  <si>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</si>
  <si>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</si>
  <si>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</si>
  <si>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</si>
  <si>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</si>
  <si>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</si>
  <si>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</si>
  <si>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</si>
  <si>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</si>
  <si>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</si>
  <si>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</si>
  <si>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</si>
  <si>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</si>
  <si>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</si>
  <si>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</si>
  <si>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</si>
  <si>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</si>
  <si>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</si>
  <si>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</si>
  <si>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</si>
  <si>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</si>
  <si>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</si>
  <si>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</si>
  <si>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</si>
  <si>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</si>
  <si>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</si>
  <si>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</si>
  <si>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</si>
  <si>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</si>
  <si>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</si>
  <si>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</si>
  <si>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</si>
  <si>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</si>
  <si>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</si>
  <si>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</si>
  <si>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</si>
  <si>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</si>
  <si>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</si>
  <si>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</si>
  <si>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</si>
  <si>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</si>
  <si>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</si>
  <si>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</si>
  <si>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</si>
  <si>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</si>
  <si>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</si>
  <si>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</si>
  <si>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</si>
  <si>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</si>
  <si>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</si>
  <si>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</si>
  <si>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</si>
  <si>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</si>
  <si>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</si>
  <si>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</si>
  <si>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</si>
  <si>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</si>
  <si>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</si>
  <si>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</si>
  <si>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</si>
  <si>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</si>
  <si>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</si>
  <si>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</si>
  <si>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</si>
  <si>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</si>
  <si>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</si>
  <si>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</si>
  <si>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</si>
  <si>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</si>
  <si>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</si>
  <si>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</si>
  <si>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</si>
  <si>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</si>
  <si>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</si>
  <si>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</si>
  <si>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</si>
  <si>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</si>
  <si>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</si>
  <si>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</si>
  <si>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</si>
  <si>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</si>
  <si>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</si>
  <si>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</si>
  <si>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</si>
  <si>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</si>
  <si>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</si>
  <si>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</si>
  <si>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</si>
  <si>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</si>
  <si>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</si>
  <si>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</si>
  <si>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</si>
  <si>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</si>
  <si>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</si>
  <si>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</si>
  <si>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</si>
  <si>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</si>
  <si>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</si>
  <si>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</si>
  <si>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</si>
  <si>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</si>
  <si>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</si>
  <si>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</si>
  <si>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</si>
  <si>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</si>
  <si>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</si>
  <si>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</si>
  <si>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</si>
  <si>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</si>
  <si>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</si>
  <si>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</si>
  <si>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</si>
  <si>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</si>
  <si>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</si>
  <si>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</si>
  <si>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</si>
  <si>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</si>
  <si>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</si>
  <si>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</si>
  <si>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</si>
  <si>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</si>
  <si>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</si>
  <si>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</si>
  <si>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</si>
  <si>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</si>
  <si>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</si>
  <si>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</si>
  <si>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</si>
  <si>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</si>
  <si>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</si>
  <si>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</si>
  <si>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</si>
  <si>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</si>
  <si>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</si>
  <si>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</si>
  <si>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</si>
  <si>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</si>
  <si>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</si>
  <si>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</si>
  <si>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</si>
  <si>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</si>
  <si>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</si>
  <si>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</si>
  <si>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</si>
  <si>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</si>
  <si>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</si>
  <si>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</si>
  <si>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</si>
  <si>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</si>
  <si>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</si>
  <si>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</si>
  <si>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</si>
  <si>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</si>
  <si>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</si>
  <si>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</si>
  <si>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</si>
  <si>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</si>
  <si>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</si>
  <si>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</si>
  <si>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</si>
  <si>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</si>
  <si>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</si>
  <si>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</si>
  <si>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</si>
  <si>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</si>
  <si>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</si>
  <si>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</si>
  <si>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</si>
  <si>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</si>
  <si>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</si>
  <si>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</si>
  <si>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</si>
  <si>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</si>
  <si>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</si>
  <si>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</si>
  <si>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</si>
  <si>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</si>
  <si>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</si>
  <si>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</si>
  <si>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</si>
  <si>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</si>
  <si>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</si>
  <si>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</si>
  <si>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</si>
  <si>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</si>
  <si>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</si>
  <si>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</si>
  <si>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</si>
  <si>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</si>
  <si>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</si>
  <si>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</si>
  <si>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</si>
  <si>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</si>
  <si>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</si>
  <si>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</si>
  <si>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</si>
  <si>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</si>
  <si>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</si>
  <si>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</si>
  <si>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</si>
  <si>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</si>
  <si>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</si>
  <si>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</si>
  <si>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</si>
  <si>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</si>
  <si>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</si>
  <si>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</si>
  <si>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</si>
  <si>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</si>
  <si>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</si>
  <si>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</si>
  <si>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</si>
  <si>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</si>
  <si>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</si>
  <si>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</si>
  <si>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</si>
  <si>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</si>
  <si>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</si>
  <si>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</si>
  <si>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</si>
  <si>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</si>
  <si>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</si>
  <si>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</si>
  <si>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</si>
  <si>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</si>
  <si>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</si>
  <si>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</si>
  <si>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</si>
  <si>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</si>
  <si>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</si>
  <si>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</si>
  <si>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</si>
  <si>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</si>
  <si>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</si>
  <si>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</si>
  <si>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</si>
  <si>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</si>
  <si>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</si>
  <si>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</si>
  <si>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</si>
  <si>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</si>
  <si>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</si>
  <si>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</si>
  <si>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</si>
  <si>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</si>
  <si>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</si>
  <si>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</si>
  <si>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</si>
  <si>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</si>
  <si>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</si>
  <si>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</si>
  <si>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</si>
  <si>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</si>
  <si>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</si>
  <si>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</si>
  <si>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</si>
  <si>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</si>
  <si>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</si>
  <si>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</si>
  <si>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</si>
  <si>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</si>
  <si>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</si>
  <si>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</si>
  <si>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</si>
  <si>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</si>
  <si>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</si>
  <si>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</si>
  <si>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</si>
  <si>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</si>
  <si>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</si>
  <si>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</si>
  <si>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</si>
  <si>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</si>
  <si>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</si>
  <si>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</si>
  <si>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</si>
  <si>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</si>
  <si>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</si>
  <si>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</si>
  <si>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</si>
  <si>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</si>
  <si>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</si>
  <si>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</si>
  <si>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</si>
  <si>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</si>
  <si>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</si>
  <si>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</si>
  <si>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</si>
  <si>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</si>
  <si>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</si>
  <si>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</si>
  <si>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</si>
  <si>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</si>
  <si>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</si>
  <si>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</si>
  <si>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</si>
  <si>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</si>
  <si>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</si>
  <si>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</si>
  <si>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</si>
  <si>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</si>
  <si>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</si>
  <si>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</si>
  <si>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</si>
  <si>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</si>
  <si>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</si>
  <si>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</si>
  <si>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</si>
  <si>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</si>
  <si>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</si>
  <si>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</si>
  <si>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</si>
  <si>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</si>
  <si>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</si>
  <si>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</si>
  <si>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</si>
  <si>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</si>
  <si>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</si>
  <si>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</si>
  <si>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</si>
  <si>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</si>
  <si>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</si>
  <si>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</si>
  <si>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</si>
  <si>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</si>
  <si>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</si>
  <si>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</si>
  <si>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</si>
  <si>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</si>
  <si>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</si>
  <si>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</si>
  <si>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</si>
  <si>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</si>
  <si>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</si>
  <si>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</si>
  <si>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</si>
  <si>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</si>
  <si>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</si>
  <si>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</si>
  <si>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</si>
  <si>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</si>
  <si>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</si>
  <si>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</si>
  <si>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</si>
  <si>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</si>
  <si>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</si>
  <si>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</si>
  <si>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</si>
  <si>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</si>
  <si>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</si>
  <si>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</si>
  <si>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</si>
  <si>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</si>
  <si>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</si>
  <si>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</si>
  <si>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</si>
  <si>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</si>
  <si>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</si>
  <si>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</si>
  <si>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</si>
  <si>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</si>
  <si>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</si>
  <si>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</si>
  <si>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</si>
  <si>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</si>
  <si>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</si>
  <si>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</si>
  <si>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</si>
  <si>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</si>
  <si>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</si>
  <si>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</si>
  <si>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</si>
  <si>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</si>
  <si>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</si>
  <si>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</si>
  <si>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</si>
  <si>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</si>
  <si>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</si>
  <si>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</si>
  <si>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</si>
  <si>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</si>
  <si>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</si>
  <si>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</si>
  <si>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</si>
  <si>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</si>
  <si>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</si>
  <si>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</si>
  <si>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</si>
  <si>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</si>
  <si>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</si>
  <si>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</si>
  <si>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</si>
  <si>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</si>
  <si>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</si>
  <si>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</si>
  <si>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</si>
  <si>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</si>
  <si>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</si>
  <si>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</si>
  <si>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</si>
  <si>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</si>
  <si>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</si>
  <si>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</si>
  <si>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</si>
  <si>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</si>
  <si>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</si>
  <si>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</si>
  <si>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</si>
  <si>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</si>
  <si>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</si>
  <si>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</si>
  <si>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</si>
  <si>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</si>
  <si>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</si>
  <si>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</si>
  <si>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</si>
  <si>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</si>
  <si>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</si>
  <si>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</si>
  <si>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</si>
  <si>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</si>
  <si>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</si>
  <si>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</si>
  <si>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</si>
  <si>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</si>
  <si>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</si>
  <si>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</si>
  <si>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</si>
  <si>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</si>
  <si>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</si>
  <si>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</si>
  <si>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</si>
  <si>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</si>
  <si>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</si>
  <si>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</si>
  <si>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</si>
  <si>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</si>
  <si>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</si>
  <si>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</si>
  <si>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</si>
  <si>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</si>
  <si>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</si>
  <si>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</si>
  <si>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</si>
  <si>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</si>
  <si>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</si>
  <si>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</si>
  <si>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</si>
  <si>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</si>
  <si>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</si>
  <si>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</si>
  <si>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</si>
  <si>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</si>
  <si>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</si>
  <si>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</si>
  <si>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</si>
  <si>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</si>
  <si>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</si>
  <si>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</si>
  <si>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</si>
  <si>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</si>
  <si>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</si>
  <si>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</si>
  <si>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</si>
  <si>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</si>
  <si>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</si>
  <si>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</si>
  <si>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</si>
  <si>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</si>
  <si>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</si>
  <si>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</si>
  <si>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</si>
  <si>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</si>
  <si>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</si>
  <si>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</si>
  <si>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</si>
  <si>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</si>
  <si>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</si>
  <si>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</si>
  <si>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</si>
  <si>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</si>
  <si>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</si>
  <si>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</si>
  <si>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</si>
  <si>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</si>
  <si>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</si>
  <si>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</si>
  <si>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</si>
  <si>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</si>
  <si>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</si>
  <si>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</si>
  <si>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</si>
  <si>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</si>
  <si>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</si>
  <si>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</si>
  <si>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</si>
  <si>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</si>
  <si>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</si>
  <si>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</si>
  <si>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</si>
  <si>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</si>
  <si>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</si>
  <si>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</si>
  <si>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</si>
  <si>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</si>
  <si>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</si>
  <si>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</si>
  <si>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</si>
  <si>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</si>
  <si>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</si>
  <si>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</si>
  <si>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</si>
  <si>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</si>
  <si>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</si>
  <si>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</si>
  <si>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</si>
  <si>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</si>
  <si>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</si>
  <si>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</si>
  <si>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</si>
  <si>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</si>
  <si>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</si>
  <si>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</si>
  <si>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</si>
  <si>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</si>
  <si>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</si>
  <si>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</si>
  <si>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</si>
  <si>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</si>
  <si>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</si>
  <si>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</si>
  <si>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</si>
  <si>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</si>
  <si>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</si>
  <si>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</si>
  <si>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</si>
  <si>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</si>
  <si>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</si>
  <si>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</si>
  <si>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</si>
  <si>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</si>
  <si>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</si>
  <si>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</si>
  <si>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</si>
  <si>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</si>
  <si>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</si>
  <si>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</si>
  <si>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</si>
  <si>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</si>
  <si>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</si>
  <si>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</si>
  <si>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</si>
  <si>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</si>
  <si>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</si>
  <si>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</si>
  <si>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</si>
  <si>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</si>
  <si>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</si>
  <si>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</si>
  <si>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</si>
  <si>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</si>
  <si>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</si>
  <si>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</si>
  <si>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</si>
  <si>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</si>
  <si>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</si>
  <si>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</si>
  <si>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</si>
  <si>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</si>
  <si>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</si>
  <si>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</si>
  <si>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</si>
  <si>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</si>
  <si>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</si>
  <si>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</si>
  <si>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</si>
  <si>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</si>
  <si>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</si>
  <si>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</si>
  <si>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</si>
  <si>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</si>
  <si>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</si>
  <si>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</si>
  <si>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</si>
  <si>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</si>
  <si>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</si>
  <si>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</si>
  <si>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</si>
  <si>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</si>
  <si>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</si>
  <si>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</si>
  <si>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</si>
  <si>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</si>
  <si>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</si>
  <si>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</si>
  <si>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</si>
  <si>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</si>
  <si>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</si>
  <si>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</si>
  <si>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</si>
  <si>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</si>
  <si>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</si>
  <si>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</si>
  <si>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</si>
  <si>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</si>
  <si>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</si>
  <si>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</si>
  <si>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</si>
  <si>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</si>
  <si>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</si>
  <si>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</si>
  <si>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</si>
  <si>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</si>
  <si>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</si>
  <si>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</si>
  <si>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</si>
  <si>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</si>
  <si>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</si>
  <si>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</si>
  <si>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</si>
  <si>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</si>
  <si>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</si>
  <si>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</si>
  <si>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</si>
  <si>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</si>
  <si>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</si>
  <si>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</si>
  <si>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</si>
  <si>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</si>
  <si>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</si>
  <si>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</si>
  <si>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</si>
  <si>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</si>
  <si>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</si>
  <si>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</si>
  <si>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</si>
  <si>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</si>
  <si>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</si>
  <si>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</si>
  <si>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</si>
  <si>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</si>
  <si>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</si>
  <si>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</si>
  <si>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</si>
  <si>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</si>
  <si>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</si>
  <si>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</si>
  <si>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</si>
  <si>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</si>
  <si>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</si>
  <si>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</si>
  <si>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</si>
  <si>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</si>
  <si>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</si>
  <si>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</si>
  <si>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</si>
  <si>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</si>
  <si>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</si>
  <si>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</si>
  <si>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</si>
  <si>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</si>
  <si>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</si>
  <si>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</si>
  <si>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</si>
  <si>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</si>
  <si>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</si>
  <si>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</si>
  <si>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</si>
  <si>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</si>
  <si>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</si>
  <si>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</si>
  <si>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</si>
  <si>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</si>
  <si>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</si>
  <si>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</si>
  <si>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</si>
  <si>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</si>
  <si>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</si>
  <si>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</si>
  <si>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</si>
  <si>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</si>
  <si>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</si>
  <si>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</si>
  <si>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</si>
  <si>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</si>
  <si>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</si>
  <si>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</si>
  <si>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</si>
  <si>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</si>
  <si>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</si>
  <si>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</si>
  <si>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</si>
  <si>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</si>
  <si>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</si>
  <si>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</si>
  <si>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</si>
  <si>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</si>
  <si>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</si>
  <si>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</si>
  <si>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</si>
  <si>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</si>
  <si>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</si>
  <si>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</si>
  <si>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</si>
  <si>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</si>
  <si>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</si>
  <si>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</si>
  <si>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</si>
  <si>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</si>
  <si>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</si>
  <si>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</si>
  <si>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</si>
  <si>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</si>
  <si>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</si>
  <si>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</si>
  <si>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</si>
  <si>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</si>
  <si>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</si>
  <si>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</si>
  <si>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</si>
  <si>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</si>
  <si>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</si>
  <si>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</si>
  <si>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</si>
  <si>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</si>
  <si>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</si>
  <si>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</si>
  <si>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</si>
  <si>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</si>
  <si>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</si>
  <si>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</si>
  <si>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</si>
  <si>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</si>
  <si>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</si>
  <si>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</si>
  <si>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</si>
  <si>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</si>
  <si>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</si>
  <si>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</si>
  <si>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</si>
  <si>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</si>
  <si>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</si>
  <si>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</si>
  <si>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</si>
  <si>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</si>
  <si>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</si>
  <si>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</si>
  <si>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</si>
  <si>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</si>
  <si>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</si>
  <si>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</si>
  <si>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</si>
  <si>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</si>
  <si>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</si>
  <si>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</si>
  <si>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</si>
  <si>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</si>
  <si>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</si>
  <si>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</si>
  <si>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</si>
  <si>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</si>
  <si>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</si>
  <si>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</si>
  <si>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</si>
  <si>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</si>
  <si>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</si>
  <si>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</si>
  <si>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</si>
  <si>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</si>
  <si>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</si>
  <si>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</si>
  <si>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</si>
  <si>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</si>
  <si>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</si>
  <si>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</si>
  <si>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</si>
  <si>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</si>
  <si>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</si>
  <si>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</si>
  <si>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</si>
  <si>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</si>
  <si>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</si>
  <si>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</si>
  <si>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</si>
  <si>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</si>
  <si>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</si>
  <si>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</si>
  <si>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</si>
  <si>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</si>
  <si>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</si>
  <si>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</si>
  <si>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</si>
  <si>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</si>
  <si>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</si>
  <si>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</si>
  <si>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</si>
  <si>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</si>
  <si>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</si>
  <si>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</si>
  <si>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</si>
  <si>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</si>
  <si>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</si>
  <si>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</si>
  <si>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</si>
  <si>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</si>
  <si>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</si>
  <si>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</si>
  <si>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</si>
  <si>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</si>
  <si>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</si>
  <si>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</si>
  <si>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</si>
  <si>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</si>
  <si>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</si>
  <si>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</si>
  <si>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</si>
  <si>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</si>
  <si>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</si>
  <si>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</si>
  <si>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</si>
  <si>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</si>
  <si>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</si>
  <si>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</si>
  <si>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</si>
  <si>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</si>
  <si>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</si>
  <si>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</si>
  <si>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</si>
  <si>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</si>
  <si>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</si>
  <si>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</si>
  <si>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</si>
  <si>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</si>
  <si>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</si>
  <si>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</si>
  <si>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</si>
  <si>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</si>
  <si>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</si>
  <si>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</si>
  <si>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</si>
  <si>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</si>
  <si>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</si>
  <si>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</si>
  <si>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</si>
  <si>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</si>
  <si>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</si>
  <si>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</si>
  <si>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</si>
  <si>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</si>
  <si>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</si>
  <si>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</si>
  <si>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</si>
  <si>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</si>
  <si>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</si>
  <si>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</si>
  <si>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</si>
  <si>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</si>
  <si>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</si>
  <si>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</si>
  <si>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</si>
  <si>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</si>
  <si>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</si>
  <si>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</si>
  <si>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</si>
  <si>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</si>
  <si>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</si>
  <si>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</si>
  <si>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</si>
  <si>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</si>
  <si>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</si>
  <si>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</si>
  <si>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</si>
  <si>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</si>
  <si>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</si>
  <si>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</si>
  <si>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</si>
  <si>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</si>
  <si>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</si>
  <si>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</si>
  <si>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</si>
  <si>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</si>
  <si>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</si>
  <si>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</si>
  <si>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</si>
  <si>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</si>
  <si>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</si>
  <si>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</si>
  <si>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</si>
  <si>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</si>
  <si>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</si>
  <si>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</si>
  <si>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</si>
  <si>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</si>
  <si>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</si>
  <si>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</si>
  <si>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</si>
  <si>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</si>
  <si>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</si>
  <si>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</si>
  <si>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</si>
  <si>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</si>
  <si>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</si>
  <si>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</si>
  <si>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</si>
  <si>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</si>
  <si>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</si>
  <si>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</si>
  <si>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</si>
  <si>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</si>
  <si>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</si>
  <si>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</si>
  <si>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</si>
  <si>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</si>
  <si>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</si>
  <si>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</si>
  <si>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</si>
  <si>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</si>
  <si>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</si>
  <si>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</si>
  <si>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</si>
  <si>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</si>
  <si>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</si>
  <si>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</si>
  <si>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</si>
  <si>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</si>
  <si>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</si>
  <si>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</si>
  <si>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</si>
  <si>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</si>
  <si>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</si>
  <si>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</si>
  <si>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</si>
  <si>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</si>
  <si>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</si>
  <si>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</si>
  <si>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</si>
  <si>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</si>
  <si>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</si>
  <si>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</si>
  <si>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</si>
  <si>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</si>
  <si>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</si>
  <si>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</si>
  <si>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</si>
  <si>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</si>
  <si>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</si>
  <si>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</si>
  <si>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</si>
  <si>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</si>
  <si>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</si>
  <si>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</si>
  <si>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</si>
  <si>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</si>
  <si>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</si>
  <si>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</si>
  <si>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</si>
  <si>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</si>
  <si>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</si>
  <si>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</si>
  <si>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</si>
  <si>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</si>
  <si>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</si>
  <si>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</si>
  <si>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</si>
  <si>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</si>
  <si>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</si>
  <si>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</si>
  <si>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</si>
  <si>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</si>
  <si>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</si>
  <si>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</si>
  <si>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</si>
  <si>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</si>
  <si>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</si>
  <si>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</si>
  <si>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</si>
  <si>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</si>
  <si>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</si>
  <si>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</si>
  <si>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</si>
  <si>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</si>
  <si>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</si>
  <si>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</si>
  <si>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</si>
  <si>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</si>
  <si>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</si>
  <si>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</si>
  <si>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</si>
  <si>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</si>
  <si>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</si>
  <si>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</si>
  <si>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</si>
  <si>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</si>
  <si>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</si>
  <si>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</si>
  <si>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</si>
  <si>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</si>
  <si>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</si>
  <si>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</si>
  <si>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</si>
  <si>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</si>
  <si>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</si>
  <si>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</si>
  <si>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</si>
  <si>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</si>
  <si>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</si>
  <si>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</si>
  <si>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</si>
  <si>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</si>
  <si>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</si>
  <si>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</si>
  <si>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</si>
  <si>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</si>
  <si>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</si>
  <si>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</si>
  <si>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</si>
  <si>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</si>
  <si>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</si>
  <si>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</si>
  <si>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</si>
  <si>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</si>
  <si>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</si>
  <si>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</si>
  <si>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</si>
  <si>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</si>
  <si>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</si>
  <si>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</si>
  <si>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</si>
  <si>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</si>
  <si>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</si>
  <si>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</si>
  <si>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</si>
  <si>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</si>
  <si>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</si>
  <si>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</si>
  <si>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</si>
  <si>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</si>
  <si>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</si>
  <si>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</si>
  <si>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</si>
  <si>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</si>
  <si>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</si>
  <si>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</si>
  <si>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</si>
  <si>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</si>
  <si>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</si>
  <si>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</si>
  <si>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</si>
  <si>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</si>
  <si>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</si>
  <si>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</si>
  <si>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</si>
  <si>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</si>
  <si>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</si>
  <si>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</si>
  <si>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</si>
  <si>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</si>
  <si>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</si>
  <si>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</si>
  <si>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</si>
  <si>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</si>
  <si>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</si>
  <si>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</si>
  <si>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</si>
  <si>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</si>
  <si>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</si>
  <si>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</si>
  <si>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</si>
  <si>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</si>
  <si>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</si>
  <si>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</si>
  <si>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</si>
  <si>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</si>
  <si>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</si>
  <si>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</si>
  <si>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</si>
  <si>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</si>
  <si>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</si>
  <si>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</si>
  <si>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</si>
  <si>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</si>
  <si>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</si>
  <si>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</si>
  <si>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</si>
  <si>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</si>
  <si>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</si>
  <si>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</si>
  <si>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</si>
  <si>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</si>
  <si>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</si>
  <si>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</si>
  <si>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</si>
  <si>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</si>
  <si>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</si>
  <si>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</si>
  <si>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</si>
  <si>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</si>
  <si>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</si>
  <si>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</si>
  <si>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</si>
  <si>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</si>
  <si>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</si>
  <si>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</si>
  <si>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</si>
  <si>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</si>
  <si>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</si>
  <si>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</si>
  <si>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</si>
  <si>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</si>
  <si>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</si>
  <si>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</si>
  <si>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</si>
  <si>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</si>
  <si>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</si>
  <si>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</si>
  <si>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</si>
  <si>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</si>
  <si>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</si>
  <si>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</si>
  <si>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</si>
  <si>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</si>
  <si>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</si>
  <si>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</si>
  <si>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</si>
  <si>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</si>
  <si>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</si>
  <si>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</si>
  <si>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</si>
  <si>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</si>
  <si>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</si>
  <si>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</si>
  <si>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</si>
  <si>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</si>
  <si>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</si>
  <si>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</si>
  <si>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</si>
  <si>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</si>
  <si>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</si>
  <si>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</si>
  <si>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</si>
  <si>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</si>
  <si>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</si>
  <si>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</si>
  <si>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</si>
  <si>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</si>
  <si>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</si>
  <si>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</si>
  <si>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</si>
  <si>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</si>
  <si>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</si>
  <si>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</si>
  <si>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</si>
  <si>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</si>
  <si>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</si>
  <si>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</si>
  <si>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</si>
  <si>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</si>
  <si>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</si>
  <si>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</si>
  <si>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</si>
  <si>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</si>
  <si>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</si>
  <si>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</si>
  <si>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</si>
  <si>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</si>
  <si>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</si>
  <si>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</si>
  <si>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</si>
  <si>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</si>
  <si>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</si>
  <si>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</si>
  <si>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</si>
  <si>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</si>
  <si>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</si>
  <si>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</si>
  <si>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</si>
  <si>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</si>
  <si>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</si>
  <si>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</si>
  <si>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</si>
  <si>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</si>
  <si>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</si>
  <si>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</si>
  <si>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</si>
  <si>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</si>
  <si>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</si>
  <si>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</si>
  <si>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</si>
  <si>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</si>
  <si>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</si>
  <si>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</si>
  <si>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</si>
  <si>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</si>
  <si>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</si>
  <si>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</si>
  <si>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</si>
  <si>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</si>
  <si>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</si>
  <si>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</si>
  <si>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</si>
  <si>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</si>
  <si>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</si>
  <si>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</si>
  <si>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</si>
  <si>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</si>
  <si>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</si>
  <si>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</si>
  <si>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</si>
  <si>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</si>
  <si>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</si>
  <si>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</si>
  <si>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</si>
  <si>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</si>
  <si>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</si>
  <si>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</si>
  <si>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</si>
  <si>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</si>
  <si>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</si>
  <si>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</si>
  <si>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</si>
  <si>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</si>
  <si>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</si>
  <si>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</si>
  <si>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</si>
  <si>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</si>
  <si>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</si>
  <si>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</si>
  <si>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</si>
  <si>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</si>
  <si>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</si>
  <si>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</si>
  <si>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</si>
  <si>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</si>
  <si>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</si>
  <si>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</si>
  <si>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</si>
  <si>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</si>
  <si>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</si>
  <si>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</si>
  <si>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</si>
  <si>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</si>
  <si>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</si>
  <si>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</si>
  <si>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</si>
  <si>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</si>
  <si>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</si>
  <si>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</si>
  <si>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</si>
  <si>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</si>
  <si>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</si>
  <si>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</si>
  <si>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</si>
  <si>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</si>
  <si>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</si>
  <si>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</si>
  <si>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</si>
  <si>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</si>
  <si>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</si>
  <si>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</si>
  <si>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</si>
  <si>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</si>
  <si>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</si>
  <si>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</si>
  <si>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</si>
  <si>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</si>
  <si>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</si>
  <si>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</si>
  <si>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</si>
  <si>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</si>
  <si>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</si>
  <si>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</si>
  <si>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</si>
  <si>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</si>
  <si>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</si>
  <si>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</si>
  <si>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</si>
  <si>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</si>
  <si>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</si>
  <si>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</si>
  <si>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</si>
  <si>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</si>
  <si>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</si>
  <si>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</si>
  <si>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</si>
  <si>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</si>
  <si>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</si>
  <si>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</si>
  <si>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</si>
  <si>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</si>
  <si>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</si>
  <si>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</si>
  <si>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</si>
  <si>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</si>
  <si>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</si>
  <si>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</si>
  <si>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</si>
  <si>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</si>
  <si>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</si>
  <si>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</si>
  <si>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</si>
  <si>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</si>
  <si>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</si>
  <si>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</si>
  <si>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</si>
  <si>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</si>
  <si>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</si>
  <si>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</si>
  <si>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</si>
  <si>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</si>
  <si>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</si>
  <si>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</si>
  <si>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</si>
  <si>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</si>
  <si>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</si>
  <si>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</si>
  <si>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</si>
  <si>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</si>
  <si>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</si>
  <si>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</si>
  <si>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</si>
  <si>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</si>
  <si>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</si>
  <si>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</si>
  <si>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</si>
  <si>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</si>
  <si>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</si>
  <si>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</si>
  <si>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</si>
  <si>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</si>
  <si>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</si>
  <si>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</si>
  <si>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</si>
  <si>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</si>
  <si>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</si>
  <si>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</si>
  <si>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</si>
  <si>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</si>
  <si>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</si>
  <si>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</si>
  <si>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</si>
  <si>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</si>
  <si>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</si>
  <si>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</si>
  <si>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</si>
  <si>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</si>
  <si>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</si>
  <si>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</si>
  <si>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</si>
  <si>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</si>
  <si>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</si>
  <si>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</si>
  <si>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</si>
  <si>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</si>
  <si>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</si>
  <si>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</si>
  <si>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</si>
  <si>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</si>
  <si>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</si>
  <si>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</si>
  <si>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</si>
  <si>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</si>
  <si>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</si>
  <si>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</si>
  <si>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</si>
  <si>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</si>
  <si>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</si>
  <si>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</si>
  <si>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</si>
  <si>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</si>
  <si>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</si>
  <si>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</si>
  <si>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</si>
  <si>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</si>
  <si>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</si>
  <si>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</si>
  <si>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</si>
  <si>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</si>
  <si>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</si>
  <si>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</si>
  <si>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</si>
  <si>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</si>
  <si>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</si>
  <si>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</si>
  <si>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</si>
  <si>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</si>
  <si>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</si>
  <si>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</si>
  <si>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</si>
  <si>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</si>
  <si>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</si>
  <si>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</si>
  <si>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</si>
  <si>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</si>
  <si>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</si>
  <si>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</si>
  <si>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</si>
  <si>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</si>
  <si>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</si>
  <si>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</si>
  <si>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</si>
  <si>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</si>
  <si>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</si>
  <si>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</si>
  <si>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</si>
  <si>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</si>
  <si>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</si>
  <si>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</si>
  <si>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</si>
  <si>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</si>
  <si>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</si>
  <si>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</si>
  <si>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</si>
  <si>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</si>
  <si>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</si>
  <si>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</si>
  <si>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</si>
  <si>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</si>
  <si>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</si>
  <si>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</si>
  <si>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</si>
  <si>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</si>
  <si>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</si>
  <si>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</si>
  <si>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</si>
  <si>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</si>
  <si>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</si>
  <si>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</si>
  <si>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</si>
  <si>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</si>
  <si>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</si>
  <si>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</si>
  <si>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</si>
  <si>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</si>
  <si>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</si>
  <si>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</si>
  <si>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</si>
  <si>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</si>
  <si>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</si>
  <si>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</si>
  <si>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</si>
  <si>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</si>
  <si>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</si>
  <si>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</si>
  <si>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</si>
  <si>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</si>
  <si>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</si>
  <si>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</si>
  <si>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</si>
  <si>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</si>
  <si>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</si>
  <si>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</si>
  <si>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</si>
  <si>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</si>
  <si>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</si>
  <si>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</si>
  <si>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</si>
  <si>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</si>
  <si>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</si>
  <si>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</si>
  <si>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</si>
  <si>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</si>
  <si>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</si>
  <si>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</si>
  <si>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</si>
  <si>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</si>
  <si>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</si>
  <si>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</si>
  <si>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</si>
  <si>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</si>
  <si>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</si>
  <si>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</si>
  <si>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</si>
  <si>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</si>
  <si>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</si>
  <si>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</si>
  <si>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</si>
  <si>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</si>
  <si>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</si>
  <si>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</si>
  <si>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</si>
  <si>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</si>
  <si>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</si>
  <si>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</si>
  <si>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</si>
  <si>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</si>
  <si>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</si>
  <si>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</si>
  <si>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</si>
  <si>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</si>
  <si>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</si>
  <si>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</si>
  <si>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</si>
  <si>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</si>
  <si>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</si>
  <si>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</si>
  <si>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</si>
  <si>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</si>
  <si>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</si>
  <si>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</si>
  <si>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</si>
  <si>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</si>
  <si>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</si>
  <si>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</si>
  <si>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</si>
  <si>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</si>
  <si>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</si>
  <si>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</si>
  <si>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</si>
  <si>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</si>
  <si>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</si>
  <si>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</si>
  <si>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</si>
  <si>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</si>
  <si>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</si>
  <si>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</si>
  <si>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</si>
  <si>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</si>
  <si>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</si>
  <si>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</si>
  <si>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</si>
  <si>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</si>
  <si>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</si>
  <si>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</si>
  <si>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</si>
  <si>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</si>
  <si>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</si>
  <si>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</si>
  <si>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</si>
  <si>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</si>
  <si>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</si>
  <si>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</si>
  <si>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</si>
  <si>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</si>
  <si>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</si>
  <si>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</si>
  <si>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</si>
  <si>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</si>
  <si>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</si>
  <si>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</si>
  <si>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</si>
  <si>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</si>
  <si>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</si>
  <si>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</si>
  <si>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</si>
  <si>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</si>
  <si>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</si>
  <si>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</si>
  <si>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</si>
  <si>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</si>
  <si>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</si>
  <si>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</si>
  <si>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</si>
  <si>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</si>
  <si>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</si>
  <si>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</si>
  <si>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</si>
  <si>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</si>
  <si>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</si>
  <si>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</si>
  <si>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</si>
  <si>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</si>
  <si>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</si>
  <si>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</si>
  <si>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</si>
  <si>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</si>
  <si>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</si>
  <si>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</si>
  <si>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</si>
  <si>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</si>
  <si>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</si>
  <si>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</si>
  <si>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</si>
  <si>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</si>
  <si>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</si>
  <si>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</si>
  <si>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</si>
  <si>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</si>
  <si>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</si>
  <si>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</si>
  <si>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</si>
  <si>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</si>
  <si>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</si>
  <si>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</si>
  <si>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</si>
  <si>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</si>
  <si>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</si>
  <si>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</si>
  <si>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</si>
  <si>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</si>
  <si>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</si>
  <si>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</si>
  <si>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</si>
  <si>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</si>
  <si>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</si>
  <si>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</si>
  <si>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</si>
  <si>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</si>
  <si>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</si>
  <si>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</si>
  <si>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</si>
  <si>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</si>
  <si>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</si>
  <si>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</si>
  <si>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</si>
  <si>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</si>
  <si>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</si>
  <si>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</si>
  <si>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</si>
  <si>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</si>
  <si>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</si>
  <si>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</si>
  <si>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</si>
  <si>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</si>
  <si>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</si>
  <si>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</si>
  <si>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</si>
  <si>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</si>
  <si>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</si>
  <si>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</si>
  <si>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</si>
  <si>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</si>
  <si>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</si>
  <si>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</si>
  <si>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</si>
  <si>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</si>
  <si>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</si>
  <si>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</si>
  <si>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</si>
  <si>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</si>
  <si>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</si>
  <si>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</si>
  <si>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</si>
  <si>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</si>
  <si>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</si>
  <si>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</si>
  <si>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</si>
  <si>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</si>
  <si>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</si>
  <si>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</si>
  <si>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</si>
  <si>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</si>
  <si>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</si>
  <si>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</si>
  <si>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</si>
  <si>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</si>
  <si>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</si>
  <si>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</si>
  <si>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</si>
  <si>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</si>
  <si>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</si>
  <si>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</si>
  <si>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</si>
  <si>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</si>
  <si>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</si>
  <si>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</si>
  <si>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</si>
  <si>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</si>
  <si>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</si>
  <si>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</si>
  <si>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</si>
  <si>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</si>
  <si>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</si>
  <si>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</si>
  <si>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</si>
  <si>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</si>
  <si>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</si>
  <si>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</si>
  <si>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</si>
  <si>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</si>
  <si>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</si>
  <si>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</si>
  <si>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</si>
  <si>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</si>
  <si>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</si>
  <si>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</si>
  <si>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</si>
  <si>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</si>
  <si>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</si>
  <si>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</si>
  <si>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</si>
  <si>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</si>
  <si>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</si>
  <si>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</si>
  <si>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</si>
  <si>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</si>
  <si>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</si>
  <si>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</si>
  <si>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</si>
  <si>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</si>
  <si>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</si>
  <si>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</si>
  <si>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</si>
  <si>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</si>
  <si>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</si>
  <si>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</si>
  <si>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</si>
  <si>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</si>
  <si>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</si>
  <si>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</si>
  <si>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</si>
  <si>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</si>
  <si>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</si>
  <si>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</si>
  <si>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</si>
  <si>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</si>
  <si>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</si>
  <si>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</si>
  <si>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</si>
  <si>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</si>
  <si>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</si>
  <si>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</si>
  <si>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</si>
  <si>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</si>
  <si>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</si>
  <si>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</si>
  <si>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</si>
  <si>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</si>
  <si>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</si>
  <si>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</si>
  <si>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</si>
  <si>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</si>
  <si>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</si>
  <si>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</si>
  <si>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</si>
  <si>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</si>
  <si>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</si>
  <si>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</si>
  <si>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</si>
  <si>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</si>
  <si>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</si>
  <si>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</si>
  <si>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</si>
  <si>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</si>
  <si>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</si>
  <si>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</si>
  <si>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</si>
  <si>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</si>
  <si>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</si>
  <si>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</si>
  <si>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</si>
  <si>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</si>
  <si>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</si>
  <si>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</si>
  <si>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</si>
  <si>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</si>
  <si>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</si>
  <si>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</si>
  <si>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</si>
  <si>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</si>
  <si>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</si>
  <si>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</si>
  <si>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</si>
  <si>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</si>
  <si>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</si>
  <si>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</si>
  <si>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</si>
  <si>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</si>
  <si>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</si>
  <si>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</si>
  <si>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</si>
  <si>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</si>
  <si>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</si>
  <si>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</si>
  <si>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</si>
  <si>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</si>
  <si>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</si>
  <si>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</si>
  <si>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</si>
  <si>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</si>
  <si>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</si>
  <si>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</si>
  <si>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</si>
  <si>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</si>
  <si>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</si>
  <si>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</si>
  <si>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</si>
  <si>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</si>
  <si>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</si>
  <si>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</si>
  <si>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</si>
  <si>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</si>
  <si>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</si>
  <si>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</si>
  <si>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</si>
  <si>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</si>
  <si>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</si>
  <si>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</si>
  <si>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</si>
  <si>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</si>
  <si>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</si>
  <si>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</si>
  <si>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</si>
  <si>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</si>
  <si>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</si>
  <si>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</si>
  <si>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</si>
  <si>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</si>
  <si>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</si>
  <si>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</si>
  <si>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</si>
  <si>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</si>
  <si>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</si>
  <si>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</si>
  <si>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</si>
  <si>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</si>
  <si>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</si>
  <si>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</si>
  <si>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</si>
  <si>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</si>
  <si>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</si>
  <si>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</si>
  <si>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</si>
  <si>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</si>
  <si>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</si>
  <si>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</si>
  <si>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</si>
  <si>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</si>
  <si>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</si>
  <si>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</si>
  <si>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</si>
  <si>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</si>
  <si>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</si>
  <si>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</si>
  <si>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</si>
  <si>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</si>
  <si>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</si>
  <si>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</si>
  <si>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</si>
  <si>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</si>
  <si>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</si>
  <si>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</si>
  <si>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</si>
  <si>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</si>
  <si>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</si>
  <si>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</si>
  <si>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</si>
  <si>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</si>
  <si>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</si>
  <si>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</si>
  <si>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</si>
  <si>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</si>
  <si>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</si>
  <si>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</si>
  <si>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</si>
  <si>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</si>
  <si>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</si>
  <si>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</si>
  <si>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</si>
  <si>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</si>
  <si>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</si>
  <si>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</si>
  <si>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</si>
  <si>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</si>
  <si>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</si>
  <si>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</si>
  <si>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</si>
  <si>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</si>
  <si>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</si>
  <si>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</si>
  <si>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</si>
  <si>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</si>
  <si>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</si>
  <si>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</si>
  <si>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</si>
  <si>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</si>
  <si>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</si>
  <si>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</si>
  <si>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</si>
  <si>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</si>
  <si>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</si>
  <si>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</si>
  <si>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</si>
  <si>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</si>
  <si>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</si>
  <si>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</si>
  <si>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</si>
  <si>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</si>
  <si>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</si>
  <si>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</si>
  <si>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</si>
  <si>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</si>
  <si>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</si>
  <si>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</si>
  <si>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</si>
  <si>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</si>
  <si>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</si>
  <si>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</si>
  <si>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</si>
  <si>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</si>
  <si>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</si>
  <si>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</si>
  <si>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</si>
  <si>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</si>
  <si>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</si>
  <si>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</si>
  <si>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</si>
  <si>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</si>
  <si>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</si>
  <si>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</si>
  <si>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</si>
  <si>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</si>
  <si>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</si>
  <si>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</si>
  <si>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</si>
  <si>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</si>
  <si>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</si>
  <si>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</si>
  <si>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</si>
  <si>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</si>
  <si>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</si>
  <si>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</si>
  <si>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</si>
  <si>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</si>
  <si>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</si>
  <si>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</si>
  <si>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</si>
  <si>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</si>
  <si>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</si>
  <si>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</si>
  <si>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</si>
  <si>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</si>
  <si>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</si>
  <si>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</si>
  <si>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</si>
  <si>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</si>
  <si>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</si>
  <si>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</si>
  <si>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</si>
  <si>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</si>
  <si>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</si>
  <si>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</si>
  <si>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</si>
  <si>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</si>
  <si>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</si>
  <si>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</si>
  <si>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</si>
  <si>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</si>
  <si>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</si>
  <si>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</si>
  <si>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</si>
  <si>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</si>
  <si>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</si>
  <si>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</si>
  <si>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</si>
  <si>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</si>
  <si>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</si>
  <si>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</si>
  <si>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</si>
  <si>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</si>
  <si>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</si>
  <si>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</si>
  <si>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</si>
  <si>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</si>
  <si>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</si>
  <si>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</si>
  <si>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</si>
  <si>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</si>
  <si>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</si>
  <si>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</si>
  <si>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</si>
  <si>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</si>
  <si>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</si>
  <si>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</si>
  <si>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</si>
  <si>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</si>
  <si>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</si>
  <si>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</si>
  <si>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</si>
  <si>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</si>
  <si>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</si>
  <si>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</si>
  <si>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</si>
  <si>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</si>
  <si>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</si>
  <si>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</si>
  <si>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</si>
  <si>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</si>
  <si>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</si>
  <si>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</si>
  <si>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</si>
  <si>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</si>
  <si>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</si>
  <si>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</si>
  <si>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</si>
  <si>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</si>
  <si>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</si>
  <si>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</si>
  <si>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</si>
  <si>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</si>
  <si>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</si>
  <si>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</si>
  <si>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</si>
  <si>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</si>
  <si>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</si>
  <si>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</si>
  <si>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</si>
  <si>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</si>
  <si>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</si>
  <si>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</si>
  <si>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</si>
  <si>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</si>
  <si>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</si>
  <si>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</si>
  <si>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</si>
  <si>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</si>
  <si>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</si>
  <si>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</si>
  <si>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</si>
  <si>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</si>
  <si>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</si>
  <si>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</si>
  <si>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</si>
  <si>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</si>
  <si>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</si>
  <si>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</si>
  <si>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</si>
  <si>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</si>
  <si>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</si>
  <si>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</si>
  <si>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</si>
  <si>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</si>
  <si>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</si>
  <si>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</si>
  <si>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</si>
  <si>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</si>
  <si>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</si>
  <si>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</si>
  <si>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</si>
  <si>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</si>
  <si>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</si>
  <si>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</si>
  <si>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</si>
  <si>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</si>
  <si>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</si>
  <si>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</si>
  <si>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</si>
  <si>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</si>
  <si>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</si>
  <si>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</si>
  <si>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</si>
  <si>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</si>
  <si>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</si>
  <si>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</si>
  <si>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</si>
  <si>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</si>
  <si>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</si>
  <si>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</si>
  <si>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</si>
  <si>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</si>
  <si>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</si>
  <si>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</si>
  <si>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</si>
  <si>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</si>
  <si>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</si>
  <si>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</si>
  <si>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</si>
  <si>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</si>
  <si>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</si>
  <si>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</si>
  <si>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</si>
  <si>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</si>
  <si>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</si>
  <si>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</si>
  <si>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</si>
  <si>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</si>
  <si>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</si>
  <si>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</si>
  <si>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</si>
  <si>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</si>
  <si>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</si>
  <si>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</si>
  <si>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</si>
  <si>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</si>
  <si>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</si>
  <si>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</si>
  <si>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</si>
  <si>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</si>
  <si>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</si>
  <si>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</si>
  <si>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</si>
  <si>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</si>
  <si>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</si>
  <si>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</si>
  <si>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</si>
  <si>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</si>
  <si>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</si>
  <si>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</si>
  <si>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</si>
  <si>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</si>
  <si>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</si>
  <si>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</si>
  <si>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</si>
  <si>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</si>
  <si>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</si>
  <si>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</si>
  <si>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</si>
  <si>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</si>
  <si>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</si>
  <si>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</si>
  <si>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</si>
  <si>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</si>
  <si>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</si>
  <si>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</si>
  <si>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</si>
  <si>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</si>
  <si>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</si>
  <si>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</si>
  <si>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</si>
  <si>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</si>
  <si>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</si>
  <si>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</si>
  <si>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</si>
  <si>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</si>
  <si>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</si>
  <si>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</si>
  <si>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</si>
  <si>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</si>
  <si>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</si>
  <si>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</si>
  <si>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</si>
  <si>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</si>
  <si>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</si>
  <si>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</si>
  <si>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</si>
  <si>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</si>
  <si>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</si>
  <si>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</si>
  <si>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</si>
  <si>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</si>
  <si>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</si>
  <si>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</si>
  <si>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</si>
  <si>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</si>
  <si>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</si>
  <si>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</si>
  <si>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</si>
  <si>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</si>
  <si>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</si>
  <si>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</si>
  <si>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</si>
  <si>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</si>
  <si>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</si>
  <si>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</si>
  <si>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</si>
  <si>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</si>
  <si>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</si>
  <si>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</si>
  <si>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</si>
  <si>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</si>
  <si>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</si>
  <si>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</si>
  <si>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</si>
  <si>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</si>
  <si>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</si>
  <si>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</si>
  <si>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</si>
  <si>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</si>
  <si>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</si>
  <si>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</si>
  <si>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</si>
  <si>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</si>
  <si>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</si>
  <si>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</si>
  <si>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</si>
  <si>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</si>
  <si>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</si>
  <si>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</si>
  <si>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</si>
  <si>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</si>
  <si>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</si>
  <si>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</si>
  <si>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</si>
  <si>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</si>
  <si>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</si>
  <si>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</si>
  <si>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</si>
  <si>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</si>
  <si>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</si>
  <si>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</si>
  <si>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</si>
  <si>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</si>
  <si>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</si>
  <si>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</si>
  <si>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</si>
  <si>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</si>
  <si>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</si>
  <si>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</si>
  <si>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</si>
  <si>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</si>
  <si>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</si>
  <si>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</si>
  <si>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</si>
  <si>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</si>
  <si>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</si>
  <si>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</si>
  <si>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</si>
  <si>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</si>
  <si>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</si>
  <si>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</si>
  <si>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</si>
  <si>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</si>
  <si>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</si>
  <si>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</si>
  <si>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</si>
  <si>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</si>
  <si>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</si>
  <si>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</si>
  <si>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</si>
  <si>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</si>
  <si>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</si>
  <si>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</si>
  <si>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</si>
  <si>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</si>
  <si>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</si>
  <si>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</si>
  <si>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</si>
  <si>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</si>
  <si>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</si>
  <si>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</si>
  <si>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</si>
  <si>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</si>
  <si>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</si>
  <si>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</si>
  <si>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</si>
  <si>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</si>
  <si>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</si>
  <si>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</si>
  <si>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</si>
  <si>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</si>
  <si>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</si>
  <si>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</si>
  <si>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</si>
  <si>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</si>
  <si>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</si>
  <si>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</si>
  <si>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</si>
  <si>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</si>
  <si>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</si>
  <si>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</si>
  <si>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</si>
  <si>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</si>
  <si>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</si>
  <si>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</si>
  <si>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</si>
  <si>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</si>
  <si>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</si>
  <si>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</si>
  <si>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</si>
  <si>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</si>
  <si>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</si>
  <si>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</si>
  <si>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</si>
  <si>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</si>
  <si>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</si>
  <si>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</si>
  <si>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</si>
  <si>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</si>
  <si>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</si>
  <si>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</si>
  <si>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</si>
  <si>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</si>
  <si>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</si>
  <si>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</si>
  <si>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</si>
  <si>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</si>
  <si>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</si>
  <si>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</si>
  <si>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</si>
  <si>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</si>
  <si>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</si>
  <si>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</si>
  <si>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</si>
  <si>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</si>
  <si>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</si>
  <si>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</si>
  <si>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</si>
  <si>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</si>
  <si>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</si>
  <si>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</si>
  <si>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</si>
  <si>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</si>
  <si>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</si>
  <si>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</si>
  <si>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</si>
  <si>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</si>
  <si>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</si>
  <si>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</si>
  <si>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</si>
  <si>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</si>
  <si>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</si>
  <si>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</si>
  <si>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</si>
  <si>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</si>
  <si>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</si>
  <si>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</si>
  <si>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</si>
  <si>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</si>
  <si>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</si>
  <si>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</si>
  <si>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</si>
  <si>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</si>
  <si>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</si>
  <si>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</si>
  <si>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</si>
  <si>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</si>
  <si>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</si>
  <si>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</si>
  <si>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</si>
  <si>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</si>
  <si>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</si>
  <si>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</si>
  <si>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</si>
  <si>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</si>
  <si>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</si>
  <si>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</si>
  <si>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</si>
  <si>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</si>
  <si>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</si>
  <si>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</si>
  <si>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</si>
  <si>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</si>
  <si>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</si>
  <si>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</si>
  <si>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</si>
  <si>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</si>
  <si>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</si>
  <si>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</si>
  <si>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</si>
  <si>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</si>
  <si>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</si>
  <si>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</si>
  <si>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</si>
  <si>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</si>
  <si>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</si>
  <si>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</si>
  <si>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</si>
  <si>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</si>
  <si>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</si>
  <si>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</si>
  <si>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</si>
  <si>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</si>
  <si>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</si>
  <si>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</si>
  <si>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</si>
  <si>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</si>
  <si>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</si>
  <si>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</si>
  <si>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</si>
  <si>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</si>
  <si>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</si>
  <si>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</si>
  <si>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</si>
  <si>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</si>
  <si>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</si>
  <si>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</si>
  <si>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</si>
  <si>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</si>
  <si>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</si>
  <si>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</si>
  <si>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</si>
  <si>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</si>
  <si>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</si>
  <si>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</si>
  <si>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</si>
  <si>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</si>
  <si>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</si>
  <si>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</si>
  <si>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</si>
  <si>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</si>
  <si>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</si>
  <si>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</si>
  <si>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</si>
  <si>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</si>
  <si>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</si>
  <si>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</si>
  <si>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</si>
  <si>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</si>
  <si>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</si>
  <si>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</si>
  <si>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</si>
  <si>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</si>
  <si>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</si>
  <si>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</si>
  <si>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</si>
  <si>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</si>
  <si>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</si>
  <si>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</si>
  <si>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</si>
  <si>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</si>
  <si>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</si>
  <si>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</si>
  <si>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</si>
  <si>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</si>
  <si>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</si>
  <si>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</si>
  <si>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</si>
  <si>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</si>
  <si>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</si>
  <si>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</si>
  <si>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</si>
  <si>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</si>
  <si>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</si>
  <si>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</si>
  <si>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</si>
  <si>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</si>
  <si>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</si>
  <si>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</si>
  <si>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</si>
  <si>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</si>
  <si>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</si>
  <si>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</si>
  <si>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</si>
  <si>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</si>
  <si>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</si>
  <si>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</si>
  <si>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</si>
  <si>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</si>
  <si>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</si>
  <si>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</si>
  <si>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</si>
  <si>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</si>
  <si>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</si>
  <si>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</si>
  <si>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</si>
  <si>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</si>
  <si>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</si>
  <si>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</si>
  <si>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</si>
  <si>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</si>
  <si>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</si>
  <si>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</si>
  <si>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</si>
  <si>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</si>
  <si>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</si>
  <si>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</si>
  <si>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</si>
  <si>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</si>
  <si>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</si>
  <si>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</si>
  <si>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</si>
  <si>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</si>
  <si>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</si>
  <si>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</si>
  <si>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</si>
  <si>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</si>
  <si>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</si>
  <si>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</si>
  <si>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</si>
  <si>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</si>
  <si>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</si>
  <si>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</si>
  <si>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</si>
  <si>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</si>
  <si>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</si>
  <si>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</si>
  <si>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</si>
  <si>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</si>
  <si>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</si>
  <si>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</si>
  <si>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</si>
  <si>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</si>
  <si>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</si>
  <si>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</si>
  <si>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</si>
  <si>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</si>
  <si>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</si>
  <si>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</si>
  <si>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</si>
  <si>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</si>
  <si>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</si>
  <si>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</si>
  <si>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</si>
  <si>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</si>
  <si>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</si>
  <si>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</si>
  <si>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</si>
  <si>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</si>
  <si>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</si>
  <si>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</si>
  <si>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</si>
  <si>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</si>
  <si>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</si>
  <si>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</si>
  <si>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</si>
  <si>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</si>
  <si>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</si>
  <si>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</si>
  <si>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</si>
  <si>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</si>
  <si>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</si>
  <si>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</si>
  <si>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</si>
  <si>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</si>
  <si>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</si>
  <si>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</si>
  <si>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</si>
  <si>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</si>
  <si>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</si>
  <si>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</si>
  <si>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</si>
  <si>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</si>
  <si>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</si>
  <si>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</si>
  <si>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</si>
  <si>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</si>
  <si>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</si>
  <si>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</si>
  <si>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</si>
  <si>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</si>
  <si>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</si>
  <si>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</si>
  <si>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</si>
  <si>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</si>
  <si>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</si>
  <si>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</si>
  <si>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</si>
  <si>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</si>
  <si>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</si>
  <si>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</si>
  <si>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</si>
  <si>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</si>
  <si>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</si>
  <si>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</si>
  <si>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</si>
  <si>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</si>
  <si>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</si>
  <si>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</si>
  <si>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</si>
  <si>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</si>
  <si>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</si>
  <si>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</si>
  <si>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</si>
  <si>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</si>
  <si>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</si>
  <si>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</si>
  <si>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</si>
  <si>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</si>
  <si>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</si>
  <si>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</si>
  <si>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</si>
  <si>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</si>
  <si>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</si>
  <si>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</si>
  <si>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</si>
  <si>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</si>
  <si>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</si>
  <si>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</si>
  <si>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</si>
  <si>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</si>
  <si>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</si>
  <si>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</si>
  <si>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</si>
  <si>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</si>
  <si>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</si>
  <si>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</si>
  <si>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</si>
  <si>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</si>
  <si>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</si>
  <si>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</si>
  <si>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</si>
  <si>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</si>
  <si>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</si>
  <si>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</si>
  <si>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</si>
  <si>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</si>
  <si>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</si>
  <si>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</si>
  <si>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</si>
  <si>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</si>
  <si>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</si>
  <si>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</si>
  <si>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</si>
  <si>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</si>
  <si>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</si>
  <si>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</si>
  <si>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</si>
  <si>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</si>
  <si>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</si>
  <si>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</si>
  <si>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</si>
  <si>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</si>
  <si>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</si>
  <si>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</si>
  <si>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</si>
  <si>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</si>
  <si>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</si>
  <si>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</si>
  <si>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</si>
  <si>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</si>
  <si>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</si>
  <si>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</si>
  <si>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</si>
  <si>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</si>
  <si>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</si>
  <si>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</si>
  <si>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</si>
  <si>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</si>
  <si>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</si>
  <si>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</si>
  <si>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</si>
  <si>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</si>
  <si>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</si>
  <si>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</si>
  <si>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</si>
  <si>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</si>
  <si>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</si>
  <si>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</si>
  <si>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</si>
  <si>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</si>
  <si>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</si>
  <si>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</si>
  <si>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</si>
  <si>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</si>
  <si>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</si>
  <si>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</si>
  <si>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</si>
  <si>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</si>
  <si>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</si>
  <si>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</si>
  <si>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</si>
  <si>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</si>
  <si>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</si>
  <si>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</si>
  <si>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</si>
  <si>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</si>
  <si>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</si>
  <si>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</si>
  <si>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</si>
  <si>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</si>
  <si>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</si>
  <si>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</si>
  <si>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</si>
  <si>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</si>
  <si>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</si>
  <si>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</si>
  <si>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</si>
  <si>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</si>
  <si>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</si>
  <si>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</si>
  <si>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</si>
  <si>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</si>
  <si>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</si>
  <si>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</si>
  <si>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</si>
  <si>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</si>
  <si>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</si>
  <si>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</si>
  <si>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</si>
  <si>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</si>
  <si>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</si>
  <si>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</si>
  <si>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</si>
  <si>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</si>
  <si>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</si>
  <si>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</si>
  <si>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</si>
  <si>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</si>
  <si>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</si>
  <si>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</si>
  <si>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</si>
  <si>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</si>
  <si>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</si>
  <si>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</si>
  <si>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</si>
  <si>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</si>
  <si>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</si>
  <si>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</si>
  <si>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</si>
  <si>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</si>
  <si>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</si>
  <si>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</si>
  <si>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</si>
  <si>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</si>
  <si>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</si>
  <si>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</si>
  <si>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</si>
  <si>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</si>
  <si>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</si>
  <si>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</si>
  <si>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</si>
  <si>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</si>
  <si>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</si>
  <si>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</si>
  <si>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</si>
  <si>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</si>
  <si>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</si>
  <si>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</si>
  <si>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</si>
  <si>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</si>
  <si>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</si>
  <si>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</si>
  <si>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</si>
  <si>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</si>
  <si>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</si>
  <si>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</si>
  <si>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</si>
  <si>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</si>
  <si>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</si>
  <si>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</si>
  <si>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</si>
  <si>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</si>
  <si>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</si>
  <si>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</si>
  <si>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</si>
  <si>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</si>
  <si>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</si>
  <si>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</si>
  <si>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</si>
  <si>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</si>
  <si>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</si>
  <si>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</si>
  <si>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</si>
  <si>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</si>
  <si>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</si>
  <si>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</si>
  <si>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</si>
  <si>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</si>
  <si>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</si>
  <si>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</si>
  <si>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</si>
  <si>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</si>
  <si>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</si>
  <si>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</si>
  <si>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</si>
  <si>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</si>
  <si>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</si>
  <si>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</si>
  <si>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</si>
  <si>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</si>
  <si>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</si>
  <si>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</si>
  <si>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</si>
  <si>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</si>
  <si>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</si>
  <si>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</si>
  <si>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</si>
  <si>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</si>
  <si>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</si>
  <si>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</si>
  <si>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</si>
  <si>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</si>
  <si>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</si>
  <si>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</si>
  <si>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</si>
  <si>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</si>
  <si>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</si>
  <si>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</si>
  <si>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</si>
  <si>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</si>
  <si>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</si>
  <si>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</si>
  <si>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</si>
  <si>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</si>
  <si>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</si>
  <si>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</si>
  <si>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</si>
  <si>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</si>
  <si>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</si>
  <si>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</si>
  <si>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</si>
  <si>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</si>
  <si>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</si>
  <si>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</si>
  <si>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</si>
  <si>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</si>
  <si>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</si>
  <si>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</si>
  <si>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</si>
  <si>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</si>
  <si>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</si>
  <si>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</si>
  <si>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</si>
  <si>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</si>
  <si>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</si>
  <si>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</si>
  <si>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</si>
  <si>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</si>
  <si>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</si>
  <si>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</si>
  <si>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</si>
  <si>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</si>
  <si>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</si>
  <si>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</si>
  <si>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</si>
  <si>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</si>
  <si>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</si>
  <si>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</si>
  <si>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</si>
  <si>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</si>
  <si>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</si>
  <si>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</si>
  <si>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</si>
  <si>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</si>
  <si>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</si>
  <si>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</si>
  <si>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</si>
  <si>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</si>
  <si>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</si>
  <si>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</si>
  <si>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</si>
  <si>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</si>
  <si>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</si>
  <si>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</si>
  <si>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</si>
  <si>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</si>
  <si>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</si>
  <si>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</si>
  <si>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</si>
  <si>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</si>
  <si>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</si>
  <si>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</si>
  <si>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</si>
  <si>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</si>
  <si>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</si>
  <si>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</si>
  <si>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</si>
  <si>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</si>
  <si>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</si>
  <si>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</si>
  <si>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</si>
  <si>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</si>
  <si>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</si>
  <si>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</si>
  <si>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</si>
  <si>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</si>
  <si>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</si>
  <si>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</si>
  <si>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</si>
  <si>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</si>
  <si>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</si>
  <si>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</si>
  <si>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</si>
  <si>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</si>
  <si>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</si>
  <si>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</si>
  <si>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</si>
  <si>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</si>
  <si>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</si>
  <si>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</si>
  <si>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</si>
  <si>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</si>
  <si>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</si>
  <si>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</si>
  <si>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</si>
  <si>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</si>
  <si>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</si>
  <si>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</si>
  <si>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</si>
  <si>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</si>
  <si>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</si>
  <si>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</si>
  <si>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</si>
  <si>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</si>
  <si>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</si>
  <si>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</si>
  <si>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</si>
  <si>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</si>
  <si>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</si>
  <si>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</si>
  <si>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</si>
  <si>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</si>
  <si>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</si>
  <si>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</si>
  <si>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</si>
  <si>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</si>
  <si>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</si>
  <si>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</si>
  <si>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</si>
  <si>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</si>
  <si>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</si>
  <si>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</si>
  <si>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</si>
  <si>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</si>
  <si>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</si>
  <si>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</si>
  <si>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</si>
  <si>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</si>
  <si>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</si>
  <si>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</si>
  <si>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</si>
  <si>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</si>
  <si>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</si>
  <si>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</si>
  <si>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</si>
  <si>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</si>
  <si>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</si>
  <si>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</si>
  <si>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</si>
  <si>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</si>
  <si>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</si>
  <si>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</si>
  <si>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</si>
  <si>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</si>
  <si>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</si>
  <si>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</si>
  <si>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</si>
  <si>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</si>
  <si>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</si>
  <si>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</si>
  <si>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</si>
  <si>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</si>
  <si>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</si>
  <si>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</si>
  <si>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</si>
  <si>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</si>
  <si>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</si>
  <si>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</si>
  <si>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</si>
  <si>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</si>
  <si>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</si>
  <si>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</si>
  <si>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</si>
  <si>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</si>
  <si>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</si>
  <si>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</si>
  <si>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</si>
  <si>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</si>
  <si>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</si>
  <si>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</si>
  <si>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</si>
  <si>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</si>
  <si>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</si>
  <si>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</si>
  <si>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</si>
  <si>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</si>
  <si>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</si>
  <si>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</si>
  <si>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</si>
  <si>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</si>
  <si>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</si>
  <si>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</si>
  <si>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</si>
  <si>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</si>
  <si>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</si>
  <si>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</si>
  <si>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</si>
  <si>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</si>
  <si>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</si>
  <si>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</si>
  <si>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</si>
  <si>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</si>
  <si>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</si>
  <si>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</si>
  <si>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</si>
  <si>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</si>
  <si>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</si>
  <si>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</si>
  <si>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</si>
  <si>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</si>
  <si>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</si>
  <si>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</si>
  <si>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</si>
  <si>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</si>
  <si>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</si>
  <si>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</si>
  <si>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</si>
  <si>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</si>
  <si>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</si>
  <si>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</si>
  <si>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</si>
  <si>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</si>
  <si>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</si>
  <si>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</si>
  <si>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</si>
  <si>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</si>
  <si>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</si>
  <si>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</si>
  <si>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</si>
  <si>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</si>
  <si>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</si>
  <si>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</si>
  <si>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</si>
  <si>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</si>
  <si>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</si>
  <si>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</si>
  <si>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</si>
  <si>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</si>
  <si>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</si>
  <si>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</si>
  <si>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</si>
  <si>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</si>
  <si>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</si>
  <si>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</si>
  <si>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</si>
  <si>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</si>
  <si>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</si>
  <si>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</si>
  <si>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</si>
  <si>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</si>
  <si>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</si>
  <si>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</si>
  <si>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</si>
  <si>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</si>
  <si>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</si>
  <si>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</si>
  <si>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</si>
  <si>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</si>
  <si>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</si>
  <si>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</si>
  <si>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</si>
  <si>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</si>
  <si>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</si>
  <si>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</si>
  <si>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</si>
  <si>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</si>
  <si>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</si>
  <si>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</si>
  <si>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</si>
  <si>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</si>
  <si>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</si>
  <si>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</si>
  <si>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</si>
  <si>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</si>
  <si>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</si>
  <si>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</si>
  <si>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</si>
  <si>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</si>
  <si>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</si>
  <si>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</si>
  <si>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</si>
  <si>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</si>
  <si>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</si>
  <si>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</si>
  <si>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</si>
  <si>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</si>
  <si>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</si>
  <si>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</si>
  <si>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</si>
  <si>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</si>
  <si>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</si>
  <si>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</si>
  <si>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</si>
  <si>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</si>
  <si>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</si>
  <si>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</si>
  <si>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</si>
  <si>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</si>
  <si>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</si>
  <si>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</si>
  <si>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</si>
  <si>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</si>
  <si>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</si>
  <si>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</si>
  <si>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</si>
  <si>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</si>
  <si>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</si>
  <si>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</si>
  <si>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</si>
  <si>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</si>
  <si>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</si>
  <si>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</si>
  <si>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</si>
  <si>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</si>
  <si>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</si>
  <si>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</si>
  <si>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</si>
  <si>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</si>
  <si>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</si>
  <si>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</si>
  <si>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</si>
  <si>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</si>
  <si>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</si>
  <si>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</si>
  <si>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</si>
  <si>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</si>
  <si>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</si>
  <si>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</si>
  <si>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</si>
  <si>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</si>
  <si>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</si>
  <si>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</si>
  <si>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</si>
  <si>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</si>
  <si>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</si>
  <si>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</si>
  <si>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</si>
  <si>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</si>
  <si>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</si>
  <si>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</si>
  <si>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</si>
  <si>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</si>
  <si>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</si>
  <si>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</si>
  <si>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</si>
  <si>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</si>
  <si>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</si>
  <si>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</si>
  <si>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</si>
  <si>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</si>
  <si>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</si>
  <si>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</si>
  <si>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</si>
  <si>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</si>
  <si>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</si>
  <si>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</si>
  <si>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</si>
  <si>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</si>
  <si>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</si>
  <si>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</si>
  <si>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</si>
  <si>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</si>
  <si>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</si>
  <si>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</si>
  <si>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</si>
  <si>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</si>
  <si>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</si>
  <si>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</si>
  <si>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</si>
  <si>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</si>
  <si>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</si>
  <si>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</si>
  <si>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</si>
  <si>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</si>
  <si>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</si>
  <si>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</si>
  <si>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</si>
  <si>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</si>
  <si>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</si>
  <si>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</si>
  <si>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</si>
  <si>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</si>
  <si>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</si>
  <si>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</si>
  <si>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</si>
  <si>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</si>
  <si>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</si>
  <si>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</si>
  <si>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</si>
  <si>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</si>
  <si>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</si>
  <si>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</si>
  <si>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</si>
  <si>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</si>
  <si>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</si>
  <si>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</si>
  <si>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</si>
  <si>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</si>
  <si>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</si>
  <si>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</si>
  <si>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</si>
  <si>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</si>
  <si>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</si>
  <si>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</si>
  <si>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</si>
  <si>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</si>
  <si>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</si>
  <si>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</si>
  <si>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</si>
  <si>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</si>
  <si>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</si>
  <si>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</si>
  <si>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</si>
  <si>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</si>
  <si>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</si>
  <si>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</si>
  <si>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</si>
  <si>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</si>
  <si>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</si>
  <si>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</si>
  <si>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</si>
  <si>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</si>
  <si>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</si>
  <si>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</si>
  <si>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</si>
  <si>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</si>
  <si>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</si>
  <si>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</si>
  <si>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</si>
  <si>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</si>
  <si>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</si>
  <si>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</si>
  <si>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</si>
  <si>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</si>
  <si>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</si>
  <si>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</si>
  <si>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</si>
  <si>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</si>
  <si>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</si>
  <si>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</si>
  <si>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</si>
  <si>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</si>
  <si>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</si>
  <si>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</si>
  <si>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</si>
  <si>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</si>
  <si>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</si>
  <si>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</si>
  <si>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</si>
  <si>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</si>
  <si>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</si>
  <si>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</si>
  <si>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</si>
  <si>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</si>
  <si>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</si>
  <si>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</si>
  <si>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</si>
  <si>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</si>
  <si>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</si>
  <si>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</si>
  <si>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</si>
  <si>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</si>
  <si>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</si>
  <si>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</si>
  <si>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</si>
  <si>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</si>
  <si>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</si>
  <si>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</si>
  <si>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</si>
  <si>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</si>
  <si>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</si>
  <si>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</si>
  <si>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</si>
  <si>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</si>
  <si>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</si>
  <si>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</si>
  <si>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</si>
  <si>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</si>
  <si>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</si>
  <si>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</si>
  <si>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</si>
  <si>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</si>
  <si>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</si>
  <si>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</si>
  <si>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</si>
  <si>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</si>
  <si>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</si>
  <si>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</si>
  <si>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</si>
  <si>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</si>
  <si>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</si>
  <si>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</si>
  <si>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</si>
  <si>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</si>
  <si>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</si>
  <si>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</si>
  <si>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</si>
  <si>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</si>
  <si>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</si>
  <si>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</si>
  <si>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</si>
  <si>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</si>
  <si>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</si>
  <si>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</si>
  <si>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</si>
  <si>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</si>
  <si>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</si>
  <si>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</si>
  <si>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</si>
  <si>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</si>
  <si>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</si>
  <si>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</si>
  <si>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</si>
  <si>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</si>
  <si>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</si>
  <si>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</si>
  <si>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</si>
  <si>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</si>
  <si>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</si>
  <si>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</si>
  <si>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</si>
  <si>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</si>
  <si>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</si>
  <si>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</si>
  <si>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</si>
  <si>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</si>
  <si>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</si>
  <si>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</si>
  <si>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</si>
  <si>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</si>
  <si>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</si>
  <si>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</si>
  <si>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</si>
  <si>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</si>
  <si>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</si>
  <si>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</si>
  <si>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</si>
  <si>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</si>
  <si>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</si>
  <si>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</si>
  <si>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</si>
  <si>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</si>
  <si>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</si>
  <si>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</si>
  <si>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</si>
  <si>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</si>
  <si>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</si>
  <si>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</si>
  <si>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</si>
  <si>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</si>
  <si>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</si>
  <si>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</si>
  <si>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</si>
  <si>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</si>
  <si>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</si>
  <si>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</si>
  <si>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</si>
  <si>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</si>
  <si>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</si>
  <si>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</si>
  <si>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</si>
  <si>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</si>
  <si>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</si>
  <si>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</si>
  <si>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</si>
  <si>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</si>
  <si>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</si>
  <si>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</si>
  <si>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</si>
  <si>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</si>
  <si>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</si>
  <si>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</si>
  <si>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</si>
  <si>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</si>
  <si>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</si>
  <si>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</si>
  <si>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</si>
  <si>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</si>
  <si>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</si>
  <si>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</si>
  <si>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</si>
  <si>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</si>
  <si>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</si>
  <si>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</si>
  <si>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</si>
  <si>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</si>
  <si>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</si>
  <si>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</si>
  <si>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</si>
  <si>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</si>
  <si>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</si>
  <si>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</si>
  <si>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</si>
  <si>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</si>
  <si>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</si>
  <si>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</si>
  <si>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</si>
  <si>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</si>
  <si>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</si>
  <si>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</si>
  <si>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</si>
  <si>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</si>
  <si>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</si>
  <si>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</si>
  <si>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</si>
  <si>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</si>
  <si>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</si>
  <si>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</si>
  <si>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</si>
  <si>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</si>
  <si>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</si>
  <si>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</si>
  <si>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</si>
  <si>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</si>
  <si>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</si>
  <si>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</si>
  <si>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</si>
  <si>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</si>
  <si>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</si>
  <si>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</si>
  <si>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</si>
  <si>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</si>
  <si>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</si>
  <si>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</si>
  <si>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</si>
  <si>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</si>
  <si>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</si>
  <si>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</si>
  <si>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</si>
  <si>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</si>
  <si>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</si>
  <si>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</si>
  <si>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</si>
  <si>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</si>
  <si>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</si>
  <si>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</si>
  <si>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</si>
  <si>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</si>
  <si>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</si>
  <si>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</si>
  <si>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</si>
  <si>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</si>
  <si>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</si>
  <si>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</si>
  <si>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</si>
  <si>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</si>
  <si>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</si>
  <si>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</si>
  <si>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</si>
  <si>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</si>
  <si>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</si>
  <si>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</si>
  <si>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</si>
  <si>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</si>
  <si>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</si>
  <si>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</si>
  <si>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</si>
  <si>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</si>
  <si>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</si>
  <si>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</si>
  <si>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</si>
  <si>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</si>
  <si>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</si>
  <si>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</si>
  <si>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</si>
  <si>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</si>
  <si>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</si>
  <si>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</si>
  <si>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</si>
  <si>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</si>
  <si>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</si>
  <si>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</si>
  <si>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</si>
  <si>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</si>
  <si>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</si>
  <si>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</si>
  <si>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</si>
  <si>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</si>
  <si>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</si>
  <si>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</si>
  <si>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</si>
  <si>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</si>
  <si>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</si>
  <si>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</si>
  <si>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</si>
  <si>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</si>
  <si>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</si>
  <si>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</si>
  <si>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</si>
  <si>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</si>
  <si>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</si>
  <si>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</si>
  <si>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</si>
  <si>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</si>
  <si>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</si>
  <si>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</si>
  <si>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</si>
  <si>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</si>
  <si>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</si>
  <si>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</si>
  <si>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</si>
  <si>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</si>
  <si>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</si>
  <si>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</si>
  <si>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</si>
  <si>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</si>
  <si>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</si>
  <si>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</si>
  <si>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</si>
  <si>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</si>
  <si>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</si>
  <si>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</si>
  <si>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</si>
  <si>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</si>
  <si>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</si>
  <si>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</si>
  <si>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</si>
  <si>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</si>
  <si>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</si>
  <si>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</si>
  <si>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</si>
  <si>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</si>
  <si>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</si>
  <si>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</si>
  <si>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</si>
  <si>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</si>
  <si>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</si>
  <si>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</si>
  <si>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</si>
  <si>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</si>
  <si>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</si>
  <si>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</si>
  <si>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</si>
  <si>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</si>
  <si>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</si>
  <si>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</si>
  <si>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</si>
  <si>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</si>
  <si>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</si>
  <si>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</si>
  <si>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</si>
  <si>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</si>
  <si>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</si>
  <si>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</si>
  <si>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</si>
  <si>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</si>
  <si>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</si>
  <si>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</si>
  <si>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</si>
  <si>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</si>
  <si>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</si>
  <si>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</si>
  <si>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</si>
  <si>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</si>
  <si>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</si>
  <si>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</si>
  <si>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</si>
  <si>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</si>
  <si>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</si>
  <si>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</si>
  <si>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</si>
  <si>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</si>
  <si>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</si>
  <si>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</si>
  <si>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</si>
  <si>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</si>
  <si>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</si>
  <si>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</si>
  <si>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</si>
  <si>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</si>
  <si>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</si>
  <si>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</si>
  <si>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</si>
  <si>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</si>
  <si>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</si>
  <si>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</si>
  <si>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</si>
  <si>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</si>
  <si>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</si>
  <si>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</si>
  <si>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</si>
  <si>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</si>
  <si>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</si>
  <si>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</si>
  <si>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</si>
  <si>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</si>
  <si>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</si>
  <si>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</si>
  <si>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</si>
  <si>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</si>
  <si>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</si>
  <si>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</si>
  <si>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</si>
  <si>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</si>
  <si>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</si>
  <si>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</si>
  <si>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</si>
  <si>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</si>
  <si>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</si>
  <si>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</si>
  <si>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</si>
  <si>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</si>
  <si>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</si>
  <si>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</si>
  <si>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</si>
  <si>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</si>
  <si>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</si>
  <si>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</si>
  <si>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</si>
  <si>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</si>
  <si>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</si>
  <si>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</si>
  <si>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</si>
  <si>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</si>
  <si>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</si>
  <si>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</si>
  <si>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</si>
  <si>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</si>
  <si>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</si>
  <si>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</si>
  <si>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</si>
  <si>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</si>
  <si>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</si>
  <si>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</si>
  <si>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</si>
  <si>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</si>
  <si>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</si>
  <si>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</si>
  <si>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</si>
  <si>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</si>
  <si>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</si>
  <si>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</si>
  <si>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</si>
  <si>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</si>
  <si>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</si>
  <si>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</si>
  <si>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</si>
  <si>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</si>
  <si>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</si>
  <si>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</si>
  <si>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</si>
  <si>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</si>
  <si>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</si>
  <si>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</si>
  <si>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</si>
  <si>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</si>
  <si>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</si>
  <si>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</si>
  <si>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</si>
  <si>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</si>
  <si>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</si>
  <si>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</si>
  <si>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</si>
  <si>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</si>
  <si>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</si>
  <si>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</si>
  <si>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</si>
  <si>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</si>
  <si>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</si>
  <si>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</si>
  <si>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</si>
  <si>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</si>
  <si>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</si>
  <si>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</si>
  <si>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</si>
  <si>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</si>
  <si>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</si>
  <si>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</si>
  <si>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</si>
  <si>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</si>
  <si>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</si>
  <si>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</si>
  <si>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</si>
  <si>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</si>
  <si>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</si>
  <si>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</si>
  <si>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</si>
  <si>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</si>
  <si>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</si>
  <si>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</si>
  <si>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</si>
  <si>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</si>
  <si>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</si>
  <si>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</si>
  <si>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</si>
  <si>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</si>
  <si>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</si>
  <si>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</si>
  <si>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</si>
  <si>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</si>
  <si>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</si>
  <si>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</si>
  <si>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</si>
  <si>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</si>
  <si>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</si>
  <si>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</si>
  <si>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</si>
  <si>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</si>
  <si>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</si>
  <si>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</si>
  <si>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</si>
  <si>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</si>
  <si>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</si>
  <si>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</si>
  <si>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</si>
  <si>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</si>
  <si>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</si>
  <si>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</si>
  <si>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</si>
  <si>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</si>
  <si>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</si>
  <si>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</si>
  <si>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</si>
  <si>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</si>
  <si>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</si>
  <si>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</si>
  <si>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</si>
  <si>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</si>
  <si>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</si>
  <si>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</si>
  <si>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</si>
  <si>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</si>
  <si>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</si>
  <si>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</si>
  <si>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</si>
  <si>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</si>
  <si>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</si>
  <si>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</si>
  <si>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</si>
  <si>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</si>
  <si>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</si>
  <si>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</si>
  <si>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</si>
  <si>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</si>
  <si>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</si>
  <si>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</si>
  <si>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</si>
  <si>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</si>
  <si>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</si>
  <si>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</si>
  <si>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</si>
  <si>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</si>
  <si>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</si>
  <si>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</si>
  <si>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</si>
  <si>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</si>
  <si>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</si>
  <si>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</si>
  <si>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</si>
  <si>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</si>
  <si>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</si>
  <si>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</si>
  <si>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</si>
  <si>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</si>
  <si>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</si>
  <si>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</si>
  <si>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</si>
  <si>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</si>
  <si>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</si>
  <si>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</si>
  <si>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</si>
  <si>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</si>
  <si>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</si>
  <si>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</si>
  <si>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</si>
  <si>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</si>
  <si>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</si>
  <si>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</si>
  <si>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</si>
  <si>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</si>
  <si>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</si>
  <si>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</si>
  <si>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</si>
  <si>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</si>
  <si>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</si>
  <si>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</si>
  <si>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</si>
  <si>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</si>
  <si>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</si>
  <si>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</si>
  <si>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</si>
  <si>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</si>
  <si>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</si>
  <si>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</si>
  <si>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</si>
  <si>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</si>
  <si>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</si>
  <si>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</si>
  <si>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</si>
  <si>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</si>
  <si>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</si>
  <si>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</si>
  <si>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</si>
  <si>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</si>
  <si>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</si>
  <si>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</si>
  <si>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</si>
  <si>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</si>
  <si>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</si>
  <si>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</si>
  <si>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</si>
  <si>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</si>
  <si>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</si>
  <si>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</si>
  <si>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</si>
  <si>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</si>
  <si>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</si>
  <si>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</si>
  <si>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</si>
  <si>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</si>
  <si>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</si>
  <si>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</si>
  <si>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</si>
  <si>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</si>
  <si>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</si>
  <si>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</si>
  <si>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</si>
  <si>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</si>
  <si>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</si>
  <si>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</si>
  <si>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</si>
  <si>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</si>
  <si>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</si>
  <si>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</si>
  <si>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</si>
  <si>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</si>
  <si>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</si>
  <si>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</si>
  <si>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</si>
  <si>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</si>
  <si>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</si>
  <si>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</si>
  <si>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</si>
  <si>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</si>
  <si>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</si>
  <si>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</si>
  <si>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</si>
  <si>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</si>
  <si>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</si>
  <si>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</si>
  <si>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</si>
  <si>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</si>
  <si>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</si>
  <si>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</si>
  <si>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</si>
  <si>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</si>
  <si>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</si>
  <si>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</si>
  <si>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</si>
  <si>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</si>
  <si>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</si>
  <si>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</si>
  <si>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</si>
  <si>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</si>
  <si>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</si>
  <si>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</si>
  <si>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</si>
  <si>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</si>
  <si>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</si>
  <si>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</si>
  <si>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</si>
  <si>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</si>
  <si>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</si>
  <si>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</si>
  <si>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</si>
  <si>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</si>
  <si>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</si>
  <si>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</si>
  <si>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</si>
  <si>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</si>
  <si>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</si>
  <si>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</si>
  <si>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</si>
  <si>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</si>
  <si>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</si>
  <si>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</si>
  <si>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</si>
  <si>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</si>
  <si>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</si>
  <si>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</si>
  <si>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</si>
  <si>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</si>
  <si>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</si>
  <si>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</si>
  <si>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</si>
  <si>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</si>
  <si>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</si>
  <si>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</si>
  <si>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</si>
  <si>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</si>
  <si>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</si>
  <si>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</si>
  <si>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</si>
  <si>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</si>
  <si>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</si>
  <si>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</si>
  <si>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</si>
  <si>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</si>
  <si>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</si>
  <si>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</si>
  <si>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</si>
  <si>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</si>
  <si>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</si>
  <si>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</si>
  <si>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</si>
  <si>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</si>
  <si>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</si>
  <si>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</si>
  <si>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</si>
  <si>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</si>
  <si>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</si>
  <si>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</si>
  <si>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</si>
  <si>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</si>
  <si>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</si>
  <si>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</si>
  <si>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</si>
  <si>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</si>
  <si>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</si>
  <si>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</si>
  <si>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</si>
  <si>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</si>
  <si>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</si>
  <si>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</si>
  <si>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</si>
  <si>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</si>
  <si>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</si>
  <si>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</si>
  <si>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</si>
  <si>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</si>
  <si>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</si>
  <si>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</si>
  <si>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</si>
  <si>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</si>
  <si>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</si>
  <si>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</si>
  <si>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</si>
  <si>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</si>
  <si>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</si>
  <si>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</si>
  <si>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</si>
  <si>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</si>
  <si>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</si>
  <si>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</si>
  <si>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</si>
  <si>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</si>
  <si>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</si>
  <si>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</si>
  <si>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</si>
  <si>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</si>
  <si>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</si>
  <si>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</si>
  <si>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</si>
  <si>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</si>
  <si>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</si>
  <si>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</si>
  <si>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</si>
  <si>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</si>
  <si>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</si>
  <si>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</si>
  <si>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</si>
  <si>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</si>
  <si>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</si>
  <si>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</si>
  <si>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</si>
  <si>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</si>
  <si>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</si>
  <si>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</si>
  <si>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</si>
  <si>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</si>
  <si>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</si>
  <si>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</si>
  <si>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</si>
  <si>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</si>
  <si>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</si>
  <si>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</si>
  <si>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</si>
  <si>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</si>
  <si>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</si>
  <si>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</si>
  <si>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</si>
  <si>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</si>
  <si>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</si>
  <si>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</si>
  <si>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</si>
  <si>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</si>
  <si>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</si>
  <si>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</si>
  <si>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</si>
  <si>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</si>
  <si>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</si>
  <si>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</si>
  <si>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</si>
  <si>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</si>
  <si>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</si>
  <si>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</si>
  <si>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</si>
  <si>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</si>
  <si>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</si>
  <si>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</si>
  <si>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</si>
  <si>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</si>
  <si>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</si>
  <si>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</si>
  <si>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</si>
  <si>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</si>
  <si>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</si>
  <si>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</si>
  <si>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</si>
  <si>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</si>
  <si>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</si>
  <si>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</si>
  <si>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</si>
  <si>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</si>
  <si>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</si>
  <si>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</si>
  <si>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</si>
  <si>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</si>
  <si>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</si>
  <si>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</si>
  <si>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</si>
  <si>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</si>
  <si>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</si>
  <si>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</si>
  <si>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</si>
  <si>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</si>
  <si>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</si>
  <si>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</si>
  <si>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</si>
  <si>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</si>
  <si>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</si>
  <si>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</si>
  <si>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</si>
  <si>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</si>
  <si>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</si>
  <si>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</si>
  <si>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</si>
  <si>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</si>
  <si>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</si>
  <si>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</si>
  <si>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</si>
  <si>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</si>
  <si>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</si>
  <si>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</si>
  <si>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</si>
  <si>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</si>
  <si>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</si>
  <si>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</si>
  <si>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</si>
  <si>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</si>
  <si>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</si>
  <si>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</si>
  <si>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</si>
  <si>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</si>
  <si>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</si>
  <si>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</si>
  <si>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</si>
  <si>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</si>
  <si>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</si>
  <si>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</si>
  <si>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</si>
  <si>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</si>
  <si>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</si>
  <si>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</si>
  <si>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</si>
  <si>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</si>
  <si>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</si>
  <si>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</si>
  <si>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</si>
  <si>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</si>
  <si>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</si>
  <si>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</si>
  <si>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</si>
  <si>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</si>
  <si>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</si>
  <si>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</si>
  <si>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</si>
  <si>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</si>
  <si>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</si>
  <si>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</si>
  <si>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</si>
  <si>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 xml:space="preserve">Metric </t>
  </si>
  <si>
    <t>Value</t>
  </si>
  <si>
    <t>Total Orders</t>
  </si>
  <si>
    <t>Total Revenue</t>
  </si>
  <si>
    <t>Avg Order Value</t>
  </si>
  <si>
    <t>Highest Order</t>
  </si>
  <si>
    <t>Lowest Order</t>
  </si>
  <si>
    <t>Status</t>
  </si>
  <si>
    <t>Count</t>
  </si>
  <si>
    <t>Source</t>
  </si>
  <si>
    <t>Orders with Coupon</t>
  </si>
  <si>
    <t>Orders without Coupon</t>
  </si>
  <si>
    <t>Most used coupon</t>
  </si>
  <si>
    <t>No Coupon</t>
  </si>
  <si>
    <t>Change ID</t>
  </si>
  <si>
    <t>Description</t>
  </si>
  <si>
    <t>Impact</t>
  </si>
  <si>
    <t>CR001</t>
  </si>
  <si>
    <t>Standardized 309 blank CouponCode values to "No Coupon"</t>
  </si>
  <si>
    <t>Preserved all 1,200 records, improved category clarity</t>
  </si>
  <si>
    <t>Resolved</t>
  </si>
  <si>
    <t>CR002</t>
  </si>
  <si>
    <t>Separated embedded summary/pivot block from raw data sheet into dedicated "Summary Reference" tab</t>
  </si>
  <si>
    <t>Restored single-table structure per data integrity standard</t>
  </si>
  <si>
    <t>CR003</t>
  </si>
  <si>
    <t>Verified OrderID uniqueness across all records</t>
  </si>
  <si>
    <t>0 duplicates found, 1,200/1,200 unique</t>
  </si>
  <si>
    <t>Verified</t>
  </si>
  <si>
    <t>CR004</t>
  </si>
  <si>
    <t>Standardized Date column to ISO 8601 format (YYYY-MM-DD)</t>
  </si>
  <si>
    <t>0 format inconsistencies remaining</t>
  </si>
  <si>
    <t>CR005</t>
  </si>
  <si>
    <t>Validated TotalPrice = Quantity × UnitPrice across all rows</t>
  </si>
  <si>
    <t>0 mismatches found</t>
  </si>
  <si>
    <t>Metric</t>
  </si>
  <si>
    <t>Mean</t>
  </si>
  <si>
    <t>Median</t>
  </si>
  <si>
    <t>Min</t>
  </si>
  <si>
    <t>Q1</t>
  </si>
  <si>
    <t>Q3</t>
  </si>
  <si>
    <t>Max</t>
  </si>
  <si>
    <t>Std Dev</t>
  </si>
  <si>
    <t>Correlation Analysis</t>
  </si>
  <si>
    <t>Quantity vs UnitPrice</t>
  </si>
  <si>
    <t>Quantity vs TotalPrice</t>
  </si>
  <si>
    <t>UnitPrice vs TotalPrice</t>
  </si>
  <si>
    <t>ItemsInCart vs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</si>
</sst>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43" fontId="0" fillId="0" borderId="10" xfId="1" applyFont="1" applyBorder="1"/>
    <xf numFmtId="0" fontId="0" fillId="0" borderId="0" xfId="0" applyBorder="1"/>
    <xf numFmtId="43" fontId="0" fillId="0" borderId="0" xfId="1" applyFont="1" applyBorder="1"/>
    <xf numFmtId="15" fontId="0" fillId="0" borderId="0" xfId="0" applyNumberFormat="1"/>
    <xf numFmtId="0" fontId="16" fillId="0" borderId="0" xfId="0" applyFont="1"/>
    <xf numFmtId="0" fontId="18" fillId="0" borderId="0" xfId="0" applyFont="1"/>
    <xf numFmtId="0" fontId="0" fillId="0" borderId="0" xfId="0" applyAlignment="1">
      <alignment horizontal="left" vertical="top"/>
    </xf>
    <xf numFmtId="0" fontId="0" fillId="0" borderId="10" xfId="0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numFmt numFmtId="20" formatCode="dd\-mmm\-yy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1:N1201" totalsRowShown="0">
  <autoFilter ref="A1:N1201" xr:uid="{00000000-0009-0000-0100-000004000000}">
    <filterColumn colId="13">
      <customFilters>
        <customFilter operator="greaterThan" val="3330.41"/>
      </customFilters>
    </filterColumn>
  </autoFilter>
  <tableColumns count="14">
    <tableColumn id="1" xr3:uid="{00000000-0010-0000-0000-000001000000}" name="OrderID"/>
    <tableColumn id="2" xr3:uid="{00000000-0010-0000-0000-000002000000}" name="Date" dataDxfId="0"/>
    <tableColumn id="3" xr3:uid="{00000000-0010-0000-0000-000003000000}" name="CustomerID"/>
    <tableColumn id="4" xr3:uid="{00000000-0010-0000-0000-000004000000}" name="Product"/>
    <tableColumn id="5" xr3:uid="{00000000-0010-0000-0000-000005000000}" name="Quantity"/>
    <tableColumn id="6" xr3:uid="{00000000-0010-0000-0000-000006000000}" name="UnitPrice"/>
    <tableColumn id="7" xr3:uid="{00000000-0010-0000-0000-000007000000}" name="ShippingAddress"/>
    <tableColumn id="8" xr3:uid="{00000000-0010-0000-0000-000008000000}" name="PaymentMethod"/>
    <tableColumn id="9" xr3:uid="{00000000-0010-0000-0000-000009000000}" name="OrderStatus"/>
    <tableColumn id="10" xr3:uid="{00000000-0010-0000-0000-00000A000000}" name="TrackingNumber"/>
    <tableColumn id="11" xr3:uid="{00000000-0010-0000-0000-00000B000000}" name="ItemsInCart"/>
    <tableColumn id="12" xr3:uid="{00000000-0010-0000-0000-00000C000000}" name="CouponCode"/>
    <tableColumn id="13" xr3:uid="{00000000-0010-0000-0000-00000D000000}" name="ReferralSource"/>
    <tableColumn id="14" xr3:uid="{00000000-0010-0000-0000-00000E000000}" name="Total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opLeftCell="D1" zoomScale="90" zoomScaleNormal="90" workbookViewId="0">
      <selection activeCell="N4" sqref="N4"/>
    </sheetView>
  </sheetViews>
  <sheetFormatPr defaultRowHeight="15.75"/>
  <cols>
    <col min="1" max="1" width="11.375" bestFit="1" customWidth="1"/>
    <col min="2" max="2" width="11.375" style="5" bestFit="1" customWidth="1"/>
    <col min="3" max="3" width="12.625" customWidth="1"/>
    <col min="4" max="4" width="9.5" customWidth="1"/>
    <col min="5" max="5" width="10.125" customWidth="1"/>
    <col min="6" max="6" width="10.75" customWidth="1"/>
    <col min="7" max="7" width="16.625" customWidth="1"/>
    <col min="8" max="8" width="17" customWidth="1"/>
    <col min="9" max="9" width="12.625" customWidth="1"/>
    <col min="10" max="10" width="16.375" customWidth="1"/>
    <col min="11" max="11" width="12.5" customWidth="1"/>
    <col min="12" max="12" width="13.625" customWidth="1"/>
    <col min="13" max="13" width="15.125" customWidth="1"/>
    <col min="14" max="14" width="11.25" customWidth="1"/>
    <col min="16" max="16" width="21" bestFit="1" customWidth="1"/>
    <col min="17" max="17" width="13.625" bestFit="1" customWidth="1"/>
    <col min="18" max="18" width="13.625" customWidth="1"/>
    <col min="19" max="19" width="24.75" customWidth="1"/>
    <col min="20" max="20" width="24.5" customWidth="1"/>
    <col min="22" max="22" width="33" bestFit="1" customWidth="1"/>
  </cols>
  <sheetData>
    <row r="1" spans="1:16">
      <c r="A1" t="s">
        <v>0</v>
      </c>
      <c r="B1" s="5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s="6"/>
    </row>
    <row r="2" spans="1:16" hidden="1">
      <c r="A2" t="s">
        <v>14</v>
      </c>
      <c r="B2" s="5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6" hidden="1">
      <c r="A3" t="s">
        <v>23</v>
      </c>
      <c r="B3" s="5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6" hidden="1">
      <c r="A4" t="s">
        <v>30</v>
      </c>
      <c r="B4" s="5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6" hidden="1">
      <c r="A5" t="s">
        <v>39</v>
      </c>
      <c r="B5" s="5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6" hidden="1">
      <c r="A6" t="s">
        <v>46</v>
      </c>
      <c r="B6" s="5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6" hidden="1">
      <c r="A7" t="s">
        <v>52</v>
      </c>
      <c r="B7" s="5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6" hidden="1">
      <c r="A8" t="s">
        <v>56</v>
      </c>
      <c r="B8" s="5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6" hidden="1">
      <c r="A9" t="s">
        <v>62</v>
      </c>
      <c r="B9" s="5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6" hidden="1">
      <c r="A10" t="s">
        <v>67</v>
      </c>
      <c r="B10" s="5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4296</v>
      </c>
      <c r="M10" t="s">
        <v>38</v>
      </c>
      <c r="N10">
        <v>268.56</v>
      </c>
    </row>
    <row r="11" spans="1:16" hidden="1">
      <c r="A11" t="s">
        <v>71</v>
      </c>
      <c r="B11" s="5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6" hidden="1">
      <c r="A12" t="s">
        <v>77</v>
      </c>
      <c r="B12" s="5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6" hidden="1">
      <c r="A13" t="s">
        <v>82</v>
      </c>
      <c r="B13" s="5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6" hidden="1">
      <c r="A14" t="s">
        <v>86</v>
      </c>
      <c r="B14" s="5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6" hidden="1">
      <c r="A15" t="s">
        <v>91</v>
      </c>
      <c r="B15" s="5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6" hidden="1">
      <c r="A16" t="s">
        <v>95</v>
      </c>
      <c r="B16" s="5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hidden="1">
      <c r="A17" t="s">
        <v>99</v>
      </c>
      <c r="B17" s="5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L17" t="s">
        <v>4296</v>
      </c>
      <c r="M17" t="s">
        <v>76</v>
      </c>
      <c r="N17">
        <v>473.96</v>
      </c>
    </row>
    <row r="18" spans="1:14" hidden="1">
      <c r="A18" t="s">
        <v>103</v>
      </c>
      <c r="B18" s="5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hidden="1">
      <c r="A19" t="s">
        <v>107</v>
      </c>
      <c r="B19" s="5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L19" t="s">
        <v>4296</v>
      </c>
      <c r="M19" t="s">
        <v>29</v>
      </c>
      <c r="N19">
        <v>423.4</v>
      </c>
    </row>
    <row r="20" spans="1:14" hidden="1">
      <c r="A20" t="s">
        <v>111</v>
      </c>
      <c r="B20" s="5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hidden="1">
      <c r="A21" t="s">
        <v>115</v>
      </c>
      <c r="B21" s="5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hidden="1">
      <c r="A22" t="s">
        <v>119</v>
      </c>
      <c r="B22" s="5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hidden="1">
      <c r="A23" t="s">
        <v>123</v>
      </c>
      <c r="B23" s="5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L23" t="s">
        <v>4296</v>
      </c>
      <c r="M23" t="s">
        <v>76</v>
      </c>
      <c r="N23">
        <v>1371.8</v>
      </c>
    </row>
    <row r="24" spans="1:14" hidden="1">
      <c r="A24" t="s">
        <v>127</v>
      </c>
      <c r="B24" s="5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hidden="1">
      <c r="A25" t="s">
        <v>131</v>
      </c>
      <c r="B25" s="5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hidden="1">
      <c r="A26" t="s">
        <v>135</v>
      </c>
      <c r="B26" s="5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hidden="1">
      <c r="A27" t="s">
        <v>139</v>
      </c>
      <c r="B27" s="5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hidden="1">
      <c r="A28" t="s">
        <v>143</v>
      </c>
      <c r="B28" s="5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L28" t="s">
        <v>4296</v>
      </c>
      <c r="M28" t="s">
        <v>29</v>
      </c>
      <c r="N28">
        <v>297.75</v>
      </c>
    </row>
    <row r="29" spans="1:14" hidden="1">
      <c r="A29" t="s">
        <v>147</v>
      </c>
      <c r="B29" s="5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hidden="1">
      <c r="A30" t="s">
        <v>151</v>
      </c>
      <c r="B30" s="5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L30" t="s">
        <v>4296</v>
      </c>
      <c r="M30" t="s">
        <v>38</v>
      </c>
      <c r="N30">
        <v>640.28</v>
      </c>
    </row>
    <row r="31" spans="1:14" hidden="1">
      <c r="A31" t="s">
        <v>155</v>
      </c>
      <c r="B31" s="5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hidden="1">
      <c r="A32" t="s">
        <v>159</v>
      </c>
      <c r="B32" s="5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hidden="1">
      <c r="A33" t="s">
        <v>163</v>
      </c>
      <c r="B33" s="5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L33" t="s">
        <v>4296</v>
      </c>
      <c r="M33" t="s">
        <v>45</v>
      </c>
      <c r="N33">
        <v>1500.24</v>
      </c>
    </row>
    <row r="34" spans="1:14" hidden="1">
      <c r="A34" t="s">
        <v>167</v>
      </c>
      <c r="B34" s="5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L34" t="s">
        <v>4296</v>
      </c>
      <c r="M34" t="s">
        <v>38</v>
      </c>
      <c r="N34">
        <v>2683.6</v>
      </c>
    </row>
    <row r="35" spans="1:14" hidden="1">
      <c r="A35" t="s">
        <v>171</v>
      </c>
      <c r="B35" s="5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hidden="1">
      <c r="A36" t="s">
        <v>175</v>
      </c>
      <c r="B36" s="5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hidden="1">
      <c r="A37" t="s">
        <v>179</v>
      </c>
      <c r="B37" s="5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hidden="1">
      <c r="A38" t="s">
        <v>183</v>
      </c>
      <c r="B38" s="5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L38" t="s">
        <v>4296</v>
      </c>
      <c r="M38" t="s">
        <v>45</v>
      </c>
      <c r="N38">
        <v>1068.8599999999999</v>
      </c>
    </row>
    <row r="39" spans="1:14" hidden="1">
      <c r="A39" t="s">
        <v>187</v>
      </c>
      <c r="B39" s="5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hidden="1">
      <c r="A40" t="s">
        <v>191</v>
      </c>
      <c r="B40" s="5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hidden="1">
      <c r="A41" t="s">
        <v>195</v>
      </c>
      <c r="B41" s="5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769.38</v>
      </c>
    </row>
    <row r="42" spans="1:14" hidden="1">
      <c r="A42" t="s">
        <v>199</v>
      </c>
      <c r="B42" s="5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hidden="1">
      <c r="A43" t="s">
        <v>203</v>
      </c>
      <c r="B43" s="5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hidden="1">
      <c r="A44" t="s">
        <v>207</v>
      </c>
      <c r="B44" s="5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L44" t="s">
        <v>4296</v>
      </c>
      <c r="M44" t="s">
        <v>22</v>
      </c>
      <c r="N44">
        <v>303.32</v>
      </c>
    </row>
    <row r="45" spans="1:14" hidden="1">
      <c r="A45" t="s">
        <v>210</v>
      </c>
      <c r="B45" s="5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L45" t="s">
        <v>4296</v>
      </c>
      <c r="M45" t="s">
        <v>22</v>
      </c>
      <c r="N45">
        <v>1497.63</v>
      </c>
    </row>
    <row r="46" spans="1:14" hidden="1">
      <c r="A46" t="s">
        <v>214</v>
      </c>
      <c r="B46" s="5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hidden="1">
      <c r="A47" t="s">
        <v>217</v>
      </c>
      <c r="B47" s="5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hidden="1">
      <c r="A48" t="s">
        <v>221</v>
      </c>
      <c r="B48" s="5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hidden="1">
      <c r="A49" t="s">
        <v>225</v>
      </c>
      <c r="B49" s="5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hidden="1">
      <c r="A50" t="s">
        <v>229</v>
      </c>
      <c r="B50" s="5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L50" t="s">
        <v>4296</v>
      </c>
      <c r="M50" t="s">
        <v>76</v>
      </c>
      <c r="N50">
        <v>161.54</v>
      </c>
    </row>
    <row r="51" spans="1:14" hidden="1">
      <c r="A51" t="s">
        <v>233</v>
      </c>
      <c r="B51" s="5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hidden="1">
      <c r="A52" t="s">
        <v>236</v>
      </c>
      <c r="B52" s="5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hidden="1">
      <c r="A53" t="s">
        <v>240</v>
      </c>
      <c r="B53" s="5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hidden="1">
      <c r="A54" t="s">
        <v>244</v>
      </c>
      <c r="B54" s="5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hidden="1">
      <c r="A55" t="s">
        <v>248</v>
      </c>
      <c r="B55" s="5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hidden="1">
      <c r="A56" t="s">
        <v>251</v>
      </c>
      <c r="B56" s="5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hidden="1">
      <c r="A57" t="s">
        <v>255</v>
      </c>
      <c r="B57" s="5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L57" t="s">
        <v>4296</v>
      </c>
      <c r="M57" t="s">
        <v>45</v>
      </c>
      <c r="N57">
        <v>1033.2</v>
      </c>
    </row>
    <row r="58" spans="1:14" hidden="1">
      <c r="A58" t="s">
        <v>259</v>
      </c>
      <c r="B58" s="5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hidden="1">
      <c r="A59" t="s">
        <v>263</v>
      </c>
      <c r="B59" s="5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hidden="1">
      <c r="A60" t="s">
        <v>267</v>
      </c>
      <c r="B60" s="5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hidden="1">
      <c r="A61" t="s">
        <v>271</v>
      </c>
      <c r="B61" s="5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L61" t="s">
        <v>4296</v>
      </c>
      <c r="M61" t="s">
        <v>45</v>
      </c>
      <c r="N61">
        <v>2373.08</v>
      </c>
    </row>
    <row r="62" spans="1:14" hidden="1">
      <c r="A62" t="s">
        <v>275</v>
      </c>
      <c r="B62" s="5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hidden="1">
      <c r="A63" t="s">
        <v>279</v>
      </c>
      <c r="B63" s="5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hidden="1">
      <c r="A64" t="s">
        <v>283</v>
      </c>
      <c r="B64" s="5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hidden="1">
      <c r="A65" t="s">
        <v>287</v>
      </c>
      <c r="B65" s="5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hidden="1">
      <c r="A66" t="s">
        <v>291</v>
      </c>
      <c r="B66" s="5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hidden="1">
      <c r="A67" t="s">
        <v>295</v>
      </c>
      <c r="B67" s="5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L67" t="s">
        <v>4296</v>
      </c>
      <c r="M67" t="s">
        <v>22</v>
      </c>
      <c r="N67">
        <v>408.5</v>
      </c>
    </row>
    <row r="68" spans="1:14" hidden="1">
      <c r="A68" t="s">
        <v>299</v>
      </c>
      <c r="B68" s="5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</v>
      </c>
    </row>
    <row r="69" spans="1:14" hidden="1">
      <c r="A69" t="s">
        <v>303</v>
      </c>
      <c r="B69" s="5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L69" t="s">
        <v>4296</v>
      </c>
      <c r="M69" t="s">
        <v>76</v>
      </c>
      <c r="N69">
        <v>48.4</v>
      </c>
    </row>
    <row r="70" spans="1:14" hidden="1">
      <c r="A70" t="s">
        <v>307</v>
      </c>
      <c r="B70" s="5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hidden="1">
      <c r="A71" t="s">
        <v>310</v>
      </c>
      <c r="B71" s="5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L71" t="s">
        <v>4296</v>
      </c>
      <c r="M71" t="s">
        <v>29</v>
      </c>
      <c r="N71">
        <v>1435.95</v>
      </c>
    </row>
    <row r="72" spans="1:14" hidden="1">
      <c r="A72" t="s">
        <v>314</v>
      </c>
      <c r="B72" s="5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hidden="1">
      <c r="A73" t="s">
        <v>318</v>
      </c>
      <c r="B73" s="5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L73" t="s">
        <v>4296</v>
      </c>
      <c r="M73" t="s">
        <v>29</v>
      </c>
      <c r="N73">
        <v>1303.3499999999999</v>
      </c>
    </row>
    <row r="74" spans="1:14" hidden="1">
      <c r="A74" t="s">
        <v>322</v>
      </c>
      <c r="B74" s="5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L74" t="s">
        <v>4296</v>
      </c>
      <c r="M74" t="s">
        <v>45</v>
      </c>
      <c r="N74">
        <v>2357.7600000000002</v>
      </c>
    </row>
    <row r="75" spans="1:14" hidden="1">
      <c r="A75" t="s">
        <v>325</v>
      </c>
      <c r="B75" s="5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L75" t="s">
        <v>4296</v>
      </c>
      <c r="M75" t="s">
        <v>45</v>
      </c>
      <c r="N75">
        <v>1733.8</v>
      </c>
    </row>
    <row r="76" spans="1:14" hidden="1">
      <c r="A76" t="s">
        <v>329</v>
      </c>
      <c r="B76" s="5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L76" t="s">
        <v>4296</v>
      </c>
      <c r="M76" t="s">
        <v>22</v>
      </c>
      <c r="N76">
        <v>454.35</v>
      </c>
    </row>
    <row r="77" spans="1:14" hidden="1">
      <c r="A77" t="s">
        <v>333</v>
      </c>
      <c r="B77" s="5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hidden="1">
      <c r="A78" t="s">
        <v>337</v>
      </c>
      <c r="B78" s="5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hidden="1">
      <c r="A79" t="s">
        <v>341</v>
      </c>
      <c r="B79" s="5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L79" t="s">
        <v>4296</v>
      </c>
      <c r="M79" t="s">
        <v>76</v>
      </c>
      <c r="N79">
        <v>583.17999999999995</v>
      </c>
    </row>
    <row r="80" spans="1:14" hidden="1">
      <c r="A80" t="s">
        <v>345</v>
      </c>
      <c r="B80" s="5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hidden="1">
      <c r="A81" t="s">
        <v>349</v>
      </c>
      <c r="B81" s="5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L81" t="s">
        <v>4296</v>
      </c>
      <c r="M81" t="s">
        <v>45</v>
      </c>
      <c r="N81">
        <v>623.82000000000005</v>
      </c>
    </row>
    <row r="82" spans="1:14" hidden="1">
      <c r="A82" t="s">
        <v>353</v>
      </c>
      <c r="B82" s="5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L82" t="s">
        <v>4296</v>
      </c>
      <c r="M82" t="s">
        <v>45</v>
      </c>
      <c r="N82">
        <v>1768.68</v>
      </c>
    </row>
    <row r="83" spans="1:14" hidden="1">
      <c r="A83" t="s">
        <v>357</v>
      </c>
      <c r="B83" s="5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hidden="1">
      <c r="A84" t="s">
        <v>361</v>
      </c>
      <c r="B84" s="5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hidden="1">
      <c r="A85" t="s">
        <v>365</v>
      </c>
      <c r="B85" s="5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L85" t="s">
        <v>4296</v>
      </c>
      <c r="M85" t="s">
        <v>29</v>
      </c>
      <c r="N85">
        <v>2161.64</v>
      </c>
    </row>
    <row r="86" spans="1:14" hidden="1">
      <c r="A86" t="s">
        <v>369</v>
      </c>
      <c r="B86" s="5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hidden="1">
      <c r="A87" t="s">
        <v>373</v>
      </c>
      <c r="B87" s="5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440.19</v>
      </c>
    </row>
    <row r="88" spans="1:14" hidden="1">
      <c r="A88" t="s">
        <v>377</v>
      </c>
      <c r="B88" s="5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hidden="1">
      <c r="A89" t="s">
        <v>381</v>
      </c>
      <c r="B89" s="5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hidden="1">
      <c r="A90" t="s">
        <v>385</v>
      </c>
      <c r="B90" s="5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L90" t="s">
        <v>4296</v>
      </c>
      <c r="M90" t="s">
        <v>76</v>
      </c>
      <c r="N90">
        <v>344.43</v>
      </c>
    </row>
    <row r="91" spans="1:14" hidden="1">
      <c r="A91" t="s">
        <v>389</v>
      </c>
      <c r="B91" s="5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hidden="1">
      <c r="A92" t="s">
        <v>393</v>
      </c>
      <c r="B92" s="5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hidden="1">
      <c r="A93" t="s">
        <v>397</v>
      </c>
      <c r="B93" s="5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hidden="1">
      <c r="A94" t="s">
        <v>401</v>
      </c>
      <c r="B94" s="5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hidden="1">
      <c r="A95" t="s">
        <v>405</v>
      </c>
      <c r="B95" s="5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L95" t="s">
        <v>4296</v>
      </c>
      <c r="M95" t="s">
        <v>29</v>
      </c>
      <c r="N95">
        <v>1724.04</v>
      </c>
    </row>
    <row r="96" spans="1:14" hidden="1">
      <c r="A96" t="s">
        <v>409</v>
      </c>
      <c r="B96" s="5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hidden="1">
      <c r="A97" t="s">
        <v>413</v>
      </c>
      <c r="B97" s="5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L97" t="s">
        <v>4296</v>
      </c>
      <c r="M97" t="s">
        <v>29</v>
      </c>
      <c r="N97">
        <v>470.04</v>
      </c>
    </row>
    <row r="98" spans="1:14" hidden="1">
      <c r="A98" t="s">
        <v>417</v>
      </c>
      <c r="B98" s="5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L98" t="s">
        <v>4296</v>
      </c>
      <c r="M98" t="s">
        <v>22</v>
      </c>
      <c r="N98">
        <v>465.66</v>
      </c>
    </row>
    <row r="99" spans="1:14" hidden="1">
      <c r="A99" t="s">
        <v>420</v>
      </c>
      <c r="B99" s="5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L99" t="s">
        <v>4296</v>
      </c>
      <c r="M99" t="s">
        <v>38</v>
      </c>
      <c r="N99">
        <v>3097.6</v>
      </c>
    </row>
    <row r="100" spans="1:14" hidden="1">
      <c r="A100" t="s">
        <v>424</v>
      </c>
      <c r="B100" s="5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L100" t="s">
        <v>4296</v>
      </c>
      <c r="M100" t="s">
        <v>38</v>
      </c>
      <c r="N100">
        <v>457.08</v>
      </c>
    </row>
    <row r="101" spans="1:14" hidden="1">
      <c r="A101" t="s">
        <v>428</v>
      </c>
      <c r="B101" s="5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hidden="1">
      <c r="A102" t="s">
        <v>432</v>
      </c>
      <c r="B102" s="5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L102" t="s">
        <v>4296</v>
      </c>
      <c r="M102" t="s">
        <v>45</v>
      </c>
      <c r="N102">
        <v>1994.37</v>
      </c>
    </row>
    <row r="103" spans="1:14" hidden="1">
      <c r="A103" t="s">
        <v>436</v>
      </c>
      <c r="B103" s="5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L103" t="s">
        <v>4296</v>
      </c>
      <c r="M103" t="s">
        <v>76</v>
      </c>
      <c r="N103">
        <v>381.02</v>
      </c>
    </row>
    <row r="104" spans="1:14" hidden="1">
      <c r="A104" t="s">
        <v>440</v>
      </c>
      <c r="B104" s="5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hidden="1">
      <c r="A105" t="s">
        <v>444</v>
      </c>
      <c r="B105" s="5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hidden="1">
      <c r="A106" t="s">
        <v>448</v>
      </c>
      <c r="B106" s="5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hidden="1">
      <c r="A107" t="s">
        <v>452</v>
      </c>
      <c r="B107" s="5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L107" t="s">
        <v>4296</v>
      </c>
      <c r="M107" t="s">
        <v>45</v>
      </c>
      <c r="N107">
        <v>556.20000000000005</v>
      </c>
    </row>
    <row r="108" spans="1:14" hidden="1">
      <c r="A108" t="s">
        <v>456</v>
      </c>
      <c r="B108" s="5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>
      <c r="A109" t="s">
        <v>460</v>
      </c>
      <c r="B109" s="5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hidden="1">
      <c r="A110" t="s">
        <v>464</v>
      </c>
      <c r="B110" s="5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hidden="1">
      <c r="A111" t="s">
        <v>468</v>
      </c>
      <c r="B111" s="5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hidden="1">
      <c r="A112" t="s">
        <v>472</v>
      </c>
      <c r="B112" s="5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hidden="1">
      <c r="A113" t="s">
        <v>476</v>
      </c>
      <c r="B113" s="5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</v>
      </c>
    </row>
    <row r="114" spans="1:14" hidden="1">
      <c r="A114" t="s">
        <v>480</v>
      </c>
      <c r="B114" s="5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hidden="1">
      <c r="A115" t="s">
        <v>484</v>
      </c>
      <c r="B115" s="5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</v>
      </c>
    </row>
    <row r="116" spans="1:14" hidden="1">
      <c r="A116" t="s">
        <v>488</v>
      </c>
      <c r="B116" s="5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hidden="1">
      <c r="A117" t="s">
        <v>492</v>
      </c>
      <c r="B117" s="5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hidden="1">
      <c r="A118" t="s">
        <v>496</v>
      </c>
      <c r="B118" s="5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hidden="1">
      <c r="A119" t="s">
        <v>500</v>
      </c>
      <c r="B119" s="5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hidden="1">
      <c r="A120" t="s">
        <v>504</v>
      </c>
      <c r="B120" s="5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hidden="1">
      <c r="A121" t="s">
        <v>508</v>
      </c>
      <c r="B121" s="5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hidden="1">
      <c r="A122" t="s">
        <v>512</v>
      </c>
      <c r="B122" s="5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hidden="1">
      <c r="A123" t="s">
        <v>515</v>
      </c>
      <c r="B123" s="5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hidden="1">
      <c r="A124" t="s">
        <v>519</v>
      </c>
      <c r="B124" s="5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L124" t="s">
        <v>4296</v>
      </c>
      <c r="M124" t="s">
        <v>45</v>
      </c>
      <c r="N124">
        <v>1066.04</v>
      </c>
    </row>
    <row r="125" spans="1:14" hidden="1">
      <c r="A125" t="s">
        <v>523</v>
      </c>
      <c r="B125" s="5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L125" t="s">
        <v>4296</v>
      </c>
      <c r="M125" t="s">
        <v>22</v>
      </c>
      <c r="N125">
        <v>834.12</v>
      </c>
    </row>
    <row r="126" spans="1:14" hidden="1">
      <c r="A126" t="s">
        <v>527</v>
      </c>
      <c r="B126" s="5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L126" t="s">
        <v>4296</v>
      </c>
      <c r="M126" t="s">
        <v>76</v>
      </c>
      <c r="N126">
        <v>1135.1600000000001</v>
      </c>
    </row>
    <row r="127" spans="1:14" hidden="1">
      <c r="A127" t="s">
        <v>531</v>
      </c>
      <c r="B127" s="5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hidden="1">
      <c r="A128" t="s">
        <v>535</v>
      </c>
      <c r="B128" s="5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hidden="1">
      <c r="A129" t="s">
        <v>539</v>
      </c>
      <c r="B129" s="5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L129" t="s">
        <v>4296</v>
      </c>
      <c r="M129" t="s">
        <v>76</v>
      </c>
      <c r="N129">
        <v>1407.96</v>
      </c>
    </row>
    <row r="130" spans="1:14" hidden="1">
      <c r="A130" t="s">
        <v>543</v>
      </c>
      <c r="B130" s="5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hidden="1">
      <c r="A131" t="s">
        <v>547</v>
      </c>
      <c r="B131" s="5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hidden="1">
      <c r="A132" t="s">
        <v>551</v>
      </c>
      <c r="B132" s="5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hidden="1">
      <c r="A133" t="s">
        <v>555</v>
      </c>
      <c r="B133" s="5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L133" t="s">
        <v>4296</v>
      </c>
      <c r="M133" t="s">
        <v>22</v>
      </c>
      <c r="N133">
        <v>84.8</v>
      </c>
    </row>
    <row r="134" spans="1:14" hidden="1">
      <c r="A134" t="s">
        <v>559</v>
      </c>
      <c r="B134" s="5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hidden="1">
      <c r="A135" t="s">
        <v>563</v>
      </c>
      <c r="B135" s="5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hidden="1">
      <c r="A136" t="s">
        <v>567</v>
      </c>
      <c r="B136" s="5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L136" t="s">
        <v>4296</v>
      </c>
      <c r="M136" t="s">
        <v>38</v>
      </c>
      <c r="N136">
        <v>399.4</v>
      </c>
    </row>
    <row r="137" spans="1:14" hidden="1">
      <c r="A137" t="s">
        <v>570</v>
      </c>
      <c r="B137" s="5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hidden="1">
      <c r="A138" t="s">
        <v>574</v>
      </c>
      <c r="B138" s="5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hidden="1">
      <c r="A139" t="s">
        <v>578</v>
      </c>
      <c r="B139" s="5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L139" t="s">
        <v>4296</v>
      </c>
      <c r="M139" t="s">
        <v>76</v>
      </c>
      <c r="N139">
        <v>501.96</v>
      </c>
    </row>
    <row r="140" spans="1:14" hidden="1">
      <c r="A140" t="s">
        <v>582</v>
      </c>
      <c r="B140" s="5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hidden="1">
      <c r="A141" t="s">
        <v>586</v>
      </c>
      <c r="B141" s="5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L141" t="s">
        <v>4296</v>
      </c>
      <c r="M141" t="s">
        <v>38</v>
      </c>
      <c r="N141">
        <v>583.9</v>
      </c>
    </row>
    <row r="142" spans="1:14" hidden="1">
      <c r="A142" t="s">
        <v>590</v>
      </c>
      <c r="B142" s="5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hidden="1">
      <c r="A143" t="s">
        <v>593</v>
      </c>
      <c r="B143" s="5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hidden="1">
      <c r="A144" t="s">
        <v>597</v>
      </c>
      <c r="B144" s="5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hidden="1">
      <c r="A145" t="s">
        <v>601</v>
      </c>
      <c r="B145" s="5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L145" t="s">
        <v>4296</v>
      </c>
      <c r="M145" t="s">
        <v>29</v>
      </c>
      <c r="N145">
        <v>1600.28</v>
      </c>
    </row>
    <row r="146" spans="1:14" hidden="1">
      <c r="A146" t="s">
        <v>605</v>
      </c>
      <c r="B146" s="5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L146" t="s">
        <v>4296</v>
      </c>
      <c r="M146" t="s">
        <v>45</v>
      </c>
      <c r="N146">
        <v>1098.9000000000001</v>
      </c>
    </row>
    <row r="147" spans="1:14" hidden="1">
      <c r="A147" t="s">
        <v>608</v>
      </c>
      <c r="B147" s="5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hidden="1">
      <c r="A148" t="s">
        <v>612</v>
      </c>
      <c r="B148" s="5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L148" t="s">
        <v>4296</v>
      </c>
      <c r="M148" t="s">
        <v>22</v>
      </c>
      <c r="N148">
        <v>822.98</v>
      </c>
    </row>
    <row r="149" spans="1:14" hidden="1">
      <c r="A149" t="s">
        <v>616</v>
      </c>
      <c r="B149" s="5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hidden="1">
      <c r="A150" t="s">
        <v>620</v>
      </c>
      <c r="B150" s="5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hidden="1">
      <c r="A151" t="s">
        <v>624</v>
      </c>
      <c r="B151" s="5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L151" t="s">
        <v>4296</v>
      </c>
      <c r="M151" t="s">
        <v>45</v>
      </c>
      <c r="N151">
        <v>217.56</v>
      </c>
    </row>
    <row r="152" spans="1:14" hidden="1">
      <c r="A152" t="s">
        <v>628</v>
      </c>
      <c r="B152" s="5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hidden="1">
      <c r="A153" t="s">
        <v>632</v>
      </c>
      <c r="B153" s="5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L153" t="s">
        <v>4296</v>
      </c>
      <c r="M153" t="s">
        <v>38</v>
      </c>
      <c r="N153">
        <v>2223.8000000000002</v>
      </c>
    </row>
    <row r="154" spans="1:14" hidden="1">
      <c r="A154" t="s">
        <v>636</v>
      </c>
      <c r="B154" s="5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hidden="1">
      <c r="A155" t="s">
        <v>640</v>
      </c>
      <c r="B155" s="5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hidden="1">
      <c r="A156" t="s">
        <v>644</v>
      </c>
      <c r="B156" s="5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L156" t="s">
        <v>4296</v>
      </c>
      <c r="M156" t="s">
        <v>22</v>
      </c>
      <c r="N156">
        <v>1632.84</v>
      </c>
    </row>
    <row r="157" spans="1:14" hidden="1">
      <c r="A157" t="s">
        <v>647</v>
      </c>
      <c r="B157" s="5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hidden="1">
      <c r="A158" t="s">
        <v>650</v>
      </c>
      <c r="B158" s="5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hidden="1">
      <c r="A159" t="s">
        <v>654</v>
      </c>
      <c r="B159" s="5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hidden="1">
      <c r="A160" t="s">
        <v>657</v>
      </c>
      <c r="B160" s="5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hidden="1">
      <c r="A161" t="s">
        <v>661</v>
      </c>
      <c r="B161" s="5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hidden="1">
      <c r="A162" t="s">
        <v>665</v>
      </c>
      <c r="B162" s="5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L162" t="s">
        <v>4296</v>
      </c>
      <c r="M162" t="s">
        <v>29</v>
      </c>
      <c r="N162">
        <v>405.28</v>
      </c>
    </row>
    <row r="163" spans="1:14" hidden="1">
      <c r="A163" t="s">
        <v>669</v>
      </c>
      <c r="B163" s="5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hidden="1">
      <c r="A164" t="s">
        <v>672</v>
      </c>
      <c r="B164" s="5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hidden="1">
      <c r="A165" t="s">
        <v>675</v>
      </c>
      <c r="B165" s="5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L165" t="s">
        <v>4296</v>
      </c>
      <c r="M165" t="s">
        <v>29</v>
      </c>
      <c r="N165">
        <v>641.39</v>
      </c>
    </row>
    <row r="166" spans="1:14" hidden="1">
      <c r="A166" t="s">
        <v>679</v>
      </c>
      <c r="B166" s="5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hidden="1">
      <c r="A167" t="s">
        <v>683</v>
      </c>
      <c r="B167" s="5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hidden="1">
      <c r="A168" t="s">
        <v>687</v>
      </c>
      <c r="B168" s="5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hidden="1">
      <c r="A169" t="s">
        <v>690</v>
      </c>
      <c r="B169" s="5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hidden="1">
      <c r="A170" t="s">
        <v>694</v>
      </c>
      <c r="B170" s="5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L170" t="s">
        <v>4296</v>
      </c>
      <c r="M170" t="s">
        <v>45</v>
      </c>
      <c r="N170">
        <v>594.96</v>
      </c>
    </row>
    <row r="171" spans="1:14" hidden="1">
      <c r="A171" t="s">
        <v>698</v>
      </c>
      <c r="B171" s="5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hidden="1">
      <c r="A172" t="s">
        <v>702</v>
      </c>
      <c r="B172" s="5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hidden="1">
      <c r="A173" t="s">
        <v>706</v>
      </c>
      <c r="B173" s="5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hidden="1">
      <c r="A174" t="s">
        <v>710</v>
      </c>
      <c r="B174" s="5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hidden="1">
      <c r="A175" t="s">
        <v>713</v>
      </c>
      <c r="B175" s="5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hidden="1">
      <c r="A176" t="s">
        <v>717</v>
      </c>
      <c r="B176" s="5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hidden="1">
      <c r="A177" t="s">
        <v>721</v>
      </c>
      <c r="B177" s="5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hidden="1">
      <c r="A178" t="s">
        <v>725</v>
      </c>
      <c r="B178" s="5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hidden="1">
      <c r="A179" t="s">
        <v>729</v>
      </c>
      <c r="B179" s="5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L179" t="s">
        <v>4296</v>
      </c>
      <c r="M179" t="s">
        <v>45</v>
      </c>
      <c r="N179">
        <v>2158.4499999999998</v>
      </c>
    </row>
    <row r="180" spans="1:14" hidden="1">
      <c r="A180" t="s">
        <v>733</v>
      </c>
      <c r="B180" s="5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hidden="1">
      <c r="A181" t="s">
        <v>737</v>
      </c>
      <c r="B181" s="5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L181" t="s">
        <v>4296</v>
      </c>
      <c r="M181" t="s">
        <v>38</v>
      </c>
      <c r="N181">
        <v>1619.73</v>
      </c>
    </row>
    <row r="182" spans="1:14" hidden="1">
      <c r="A182" t="s">
        <v>741</v>
      </c>
      <c r="B182" s="5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L182" t="s">
        <v>4296</v>
      </c>
      <c r="M182" t="s">
        <v>76</v>
      </c>
      <c r="N182">
        <v>1580.35</v>
      </c>
    </row>
    <row r="183" spans="1:14" hidden="1">
      <c r="A183" t="s">
        <v>745</v>
      </c>
      <c r="B183" s="5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L183" t="s">
        <v>4296</v>
      </c>
      <c r="M183" t="s">
        <v>29</v>
      </c>
      <c r="N183">
        <v>2021.95</v>
      </c>
    </row>
    <row r="184" spans="1:14" hidden="1">
      <c r="A184" t="s">
        <v>749</v>
      </c>
      <c r="B184" s="5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hidden="1">
      <c r="A185" t="s">
        <v>753</v>
      </c>
      <c r="B185" s="5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hidden="1">
      <c r="A186" t="s">
        <v>757</v>
      </c>
      <c r="B186" s="5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L186" t="s">
        <v>4296</v>
      </c>
      <c r="M186" t="s">
        <v>29</v>
      </c>
      <c r="N186">
        <v>858.16</v>
      </c>
    </row>
    <row r="187" spans="1:14" hidden="1">
      <c r="A187" t="s">
        <v>761</v>
      </c>
      <c r="B187" s="5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hidden="1">
      <c r="A188" t="s">
        <v>765</v>
      </c>
      <c r="B188" s="5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hidden="1">
      <c r="A189" t="s">
        <v>769</v>
      </c>
      <c r="B189" s="5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hidden="1">
      <c r="A190" t="s">
        <v>773</v>
      </c>
      <c r="B190" s="5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hidden="1">
      <c r="A191" t="s">
        <v>777</v>
      </c>
      <c r="B191" s="5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hidden="1">
      <c r="A192" t="s">
        <v>781</v>
      </c>
      <c r="B192" s="5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671.1</v>
      </c>
    </row>
    <row r="193" spans="1:14" hidden="1">
      <c r="A193" t="s">
        <v>785</v>
      </c>
      <c r="B193" s="5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hidden="1">
      <c r="A194" t="s">
        <v>789</v>
      </c>
      <c r="B194" s="5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hidden="1">
      <c r="A195" t="s">
        <v>792</v>
      </c>
      <c r="B195" s="5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L195" t="s">
        <v>4296</v>
      </c>
      <c r="M195" t="s">
        <v>76</v>
      </c>
      <c r="N195">
        <v>46.66</v>
      </c>
    </row>
    <row r="196" spans="1:14" hidden="1">
      <c r="A196" t="s">
        <v>796</v>
      </c>
      <c r="B196" s="5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hidden="1">
      <c r="A197" t="s">
        <v>800</v>
      </c>
      <c r="B197" s="5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L197" t="s">
        <v>4296</v>
      </c>
      <c r="M197" t="s">
        <v>38</v>
      </c>
      <c r="N197">
        <v>1857.63</v>
      </c>
    </row>
    <row r="198" spans="1:14" hidden="1">
      <c r="A198" t="s">
        <v>804</v>
      </c>
      <c r="B198" s="5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hidden="1">
      <c r="A199" t="s">
        <v>808</v>
      </c>
      <c r="B199" s="5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hidden="1">
      <c r="A200" t="s">
        <v>812</v>
      </c>
      <c r="B200" s="5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hidden="1">
      <c r="A201" t="s">
        <v>815</v>
      </c>
      <c r="B201" s="5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hidden="1">
      <c r="A202" t="s">
        <v>819</v>
      </c>
      <c r="B202" s="5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hidden="1">
      <c r="A203" t="s">
        <v>822</v>
      </c>
      <c r="B203" s="5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hidden="1">
      <c r="A204" t="s">
        <v>825</v>
      </c>
      <c r="B204" s="5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761.94</v>
      </c>
    </row>
    <row r="205" spans="1:14" hidden="1">
      <c r="A205" t="s">
        <v>828</v>
      </c>
      <c r="B205" s="5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hidden="1">
      <c r="A206" t="s">
        <v>832</v>
      </c>
      <c r="B206" s="5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hidden="1">
      <c r="A207" t="s">
        <v>835</v>
      </c>
      <c r="B207" s="5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L207" t="s">
        <v>4296</v>
      </c>
      <c r="M207" t="s">
        <v>38</v>
      </c>
      <c r="N207">
        <v>442.17</v>
      </c>
    </row>
    <row r="208" spans="1:14" hidden="1">
      <c r="A208" t="s">
        <v>839</v>
      </c>
      <c r="B208" s="5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hidden="1">
      <c r="A209" t="s">
        <v>843</v>
      </c>
      <c r="B209" s="5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L209" t="s">
        <v>4296</v>
      </c>
      <c r="M209" t="s">
        <v>76</v>
      </c>
      <c r="N209">
        <v>121.96</v>
      </c>
    </row>
    <row r="210" spans="1:14" hidden="1">
      <c r="A210" t="s">
        <v>847</v>
      </c>
      <c r="B210" s="5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hidden="1">
      <c r="A211" t="s">
        <v>850</v>
      </c>
      <c r="B211" s="5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hidden="1">
      <c r="A212" t="s">
        <v>853</v>
      </c>
      <c r="B212" s="5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hidden="1">
      <c r="A213" t="s">
        <v>856</v>
      </c>
      <c r="B213" s="5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hidden="1">
      <c r="A214" t="s">
        <v>860</v>
      </c>
      <c r="B214" s="5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hidden="1">
      <c r="A215" t="s">
        <v>864</v>
      </c>
      <c r="B215" s="5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hidden="1">
      <c r="A216" t="s">
        <v>868</v>
      </c>
      <c r="B216" s="5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L216" t="s">
        <v>4296</v>
      </c>
      <c r="M216" t="s">
        <v>45</v>
      </c>
      <c r="N216">
        <v>1222.8800000000001</v>
      </c>
    </row>
    <row r="217" spans="1:14" hidden="1">
      <c r="A217" t="s">
        <v>871</v>
      </c>
      <c r="B217" s="5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hidden="1">
      <c r="A218" t="s">
        <v>875</v>
      </c>
      <c r="B218" s="5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hidden="1">
      <c r="A219" t="s">
        <v>878</v>
      </c>
      <c r="B219" s="5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L219" t="s">
        <v>4296</v>
      </c>
      <c r="M219" t="s">
        <v>76</v>
      </c>
      <c r="N219">
        <v>1286.04</v>
      </c>
    </row>
    <row r="220" spans="1:14" hidden="1">
      <c r="A220" t="s">
        <v>882</v>
      </c>
      <c r="B220" s="5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hidden="1">
      <c r="A221" t="s">
        <v>886</v>
      </c>
      <c r="B221" s="5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hidden="1">
      <c r="A222" t="s">
        <v>890</v>
      </c>
      <c r="B222" s="5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hidden="1">
      <c r="A223" t="s">
        <v>894</v>
      </c>
      <c r="B223" s="5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hidden="1">
      <c r="A224" t="s">
        <v>897</v>
      </c>
      <c r="B224" s="5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L224" t="s">
        <v>4296</v>
      </c>
      <c r="M224" t="s">
        <v>22</v>
      </c>
      <c r="N224">
        <v>2773.44</v>
      </c>
    </row>
    <row r="225" spans="1:14" hidden="1">
      <c r="A225" t="s">
        <v>901</v>
      </c>
      <c r="B225" s="5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hidden="1">
      <c r="A226" t="s">
        <v>904</v>
      </c>
      <c r="B226" s="5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hidden="1">
      <c r="A227" t="s">
        <v>908</v>
      </c>
      <c r="B227" s="5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821.88</v>
      </c>
    </row>
    <row r="228" spans="1:14" hidden="1">
      <c r="A228" t="s">
        <v>912</v>
      </c>
      <c r="B228" s="5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L228" t="s">
        <v>4296</v>
      </c>
      <c r="M228" t="s">
        <v>22</v>
      </c>
      <c r="N228">
        <v>1764.15</v>
      </c>
    </row>
    <row r="229" spans="1:14" hidden="1">
      <c r="A229" t="s">
        <v>916</v>
      </c>
      <c r="B229" s="5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hidden="1">
      <c r="A230" t="s">
        <v>919</v>
      </c>
      <c r="B230" s="5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L230" t="s">
        <v>4296</v>
      </c>
      <c r="M230" t="s">
        <v>22</v>
      </c>
      <c r="N230">
        <v>1543.68</v>
      </c>
    </row>
    <row r="231" spans="1:14" hidden="1">
      <c r="A231" t="s">
        <v>923</v>
      </c>
      <c r="B231" s="5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hidden="1">
      <c r="A232" t="s">
        <v>927</v>
      </c>
      <c r="B232" s="5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hidden="1">
      <c r="A233" t="s">
        <v>931</v>
      </c>
      <c r="B233" s="5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hidden="1">
      <c r="A234" t="s">
        <v>935</v>
      </c>
      <c r="B234" s="5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hidden="1">
      <c r="A235" t="s">
        <v>939</v>
      </c>
      <c r="B235" s="5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hidden="1">
      <c r="A236" t="s">
        <v>942</v>
      </c>
      <c r="B236" s="5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hidden="1">
      <c r="A237" t="s">
        <v>946</v>
      </c>
      <c r="B237" s="5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hidden="1">
      <c r="A238" t="s">
        <v>950</v>
      </c>
      <c r="B238" s="5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hidden="1">
      <c r="A239" t="s">
        <v>954</v>
      </c>
      <c r="B239" s="5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hidden="1">
      <c r="A240" t="s">
        <v>958</v>
      </c>
      <c r="B240" s="5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hidden="1">
      <c r="A241" t="s">
        <v>962</v>
      </c>
      <c r="B241" s="5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hidden="1">
      <c r="A242" t="s">
        <v>966</v>
      </c>
      <c r="B242" s="5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hidden="1">
      <c r="A243" t="s">
        <v>970</v>
      </c>
      <c r="B243" s="5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hidden="1">
      <c r="A244" t="s">
        <v>974</v>
      </c>
      <c r="B244" s="5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hidden="1">
      <c r="A245" t="s">
        <v>978</v>
      </c>
      <c r="B245" s="5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hidden="1">
      <c r="A246" t="s">
        <v>982</v>
      </c>
      <c r="B246" s="5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hidden="1">
      <c r="A247" t="s">
        <v>986</v>
      </c>
      <c r="B247" s="5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L247" t="s">
        <v>4296</v>
      </c>
      <c r="M247" t="s">
        <v>45</v>
      </c>
      <c r="N247">
        <v>223.3</v>
      </c>
    </row>
    <row r="248" spans="1:14" hidden="1">
      <c r="A248" t="s">
        <v>990</v>
      </c>
      <c r="B248" s="5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hidden="1">
      <c r="A249" t="s">
        <v>994</v>
      </c>
      <c r="B249" s="5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L249" t="s">
        <v>4296</v>
      </c>
      <c r="M249" t="s">
        <v>38</v>
      </c>
      <c r="N249">
        <v>441.8</v>
      </c>
    </row>
    <row r="250" spans="1:14" hidden="1">
      <c r="A250" t="s">
        <v>998</v>
      </c>
      <c r="B250" s="5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hidden="1">
      <c r="A251" t="s">
        <v>1002</v>
      </c>
      <c r="B251" s="5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hidden="1">
      <c r="A252" t="s">
        <v>1006</v>
      </c>
      <c r="B252" s="5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hidden="1">
      <c r="A253" t="s">
        <v>1009</v>
      </c>
      <c r="B253" s="5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L253" t="s">
        <v>4296</v>
      </c>
      <c r="M253" t="s">
        <v>38</v>
      </c>
      <c r="N253">
        <v>58.76</v>
      </c>
    </row>
    <row r="254" spans="1:14" hidden="1">
      <c r="A254" t="s">
        <v>1013</v>
      </c>
      <c r="B254" s="5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hidden="1">
      <c r="A255" t="s">
        <v>1017</v>
      </c>
      <c r="B255" s="5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hidden="1">
      <c r="A256" t="s">
        <v>1020</v>
      </c>
      <c r="B256" s="5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L256" t="s">
        <v>4296</v>
      </c>
      <c r="M256" t="s">
        <v>22</v>
      </c>
      <c r="N256">
        <v>789.57</v>
      </c>
    </row>
    <row r="257" spans="1:14" hidden="1">
      <c r="A257" t="s">
        <v>1023</v>
      </c>
      <c r="B257" s="5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hidden="1">
      <c r="A258" t="s">
        <v>1026</v>
      </c>
      <c r="B258" s="5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hidden="1">
      <c r="A259" t="s">
        <v>1030</v>
      </c>
      <c r="B259" s="5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hidden="1">
      <c r="A260" t="s">
        <v>1034</v>
      </c>
      <c r="B260" s="5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hidden="1">
      <c r="A261" t="s">
        <v>1038</v>
      </c>
      <c r="B261" s="5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hidden="1">
      <c r="A262" t="s">
        <v>1041</v>
      </c>
      <c r="B262" s="5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L262" t="s">
        <v>4296</v>
      </c>
      <c r="M262" t="s">
        <v>76</v>
      </c>
      <c r="N262">
        <v>815.58</v>
      </c>
    </row>
    <row r="263" spans="1:14" hidden="1">
      <c r="A263" t="s">
        <v>1045</v>
      </c>
      <c r="B263" s="5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hidden="1">
      <c r="A264" t="s">
        <v>1049</v>
      </c>
      <c r="B264" s="5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hidden="1">
      <c r="A265" t="s">
        <v>1052</v>
      </c>
      <c r="B265" s="5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hidden="1">
      <c r="A266" t="s">
        <v>1056</v>
      </c>
      <c r="B266" s="5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hidden="1">
      <c r="A267" t="s">
        <v>1060</v>
      </c>
      <c r="B267" s="5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hidden="1">
      <c r="A268" t="s">
        <v>1064</v>
      </c>
      <c r="B268" s="5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hidden="1">
      <c r="A269" t="s">
        <v>1068</v>
      </c>
      <c r="B269" s="5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L269" t="s">
        <v>4296</v>
      </c>
      <c r="M269" t="s">
        <v>45</v>
      </c>
      <c r="N269">
        <v>2342.5500000000002</v>
      </c>
    </row>
    <row r="270" spans="1:14" hidden="1">
      <c r="A270" t="s">
        <v>1072</v>
      </c>
      <c r="B270" s="5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hidden="1">
      <c r="A271" t="s">
        <v>1076</v>
      </c>
      <c r="B271" s="5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hidden="1">
      <c r="A272" t="s">
        <v>1079</v>
      </c>
      <c r="B272" s="5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hidden="1">
      <c r="A273" t="s">
        <v>1083</v>
      </c>
      <c r="B273" s="5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hidden="1">
      <c r="A274" t="s">
        <v>1087</v>
      </c>
      <c r="B274" s="5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hidden="1">
      <c r="A275" t="s">
        <v>1091</v>
      </c>
      <c r="B275" s="5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hidden="1">
      <c r="A276" t="s">
        <v>1095</v>
      </c>
      <c r="B276" s="5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hidden="1">
      <c r="A277" t="s">
        <v>1099</v>
      </c>
      <c r="B277" s="5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hidden="1">
      <c r="A278" t="s">
        <v>1103</v>
      </c>
      <c r="B278" s="5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hidden="1">
      <c r="A279" t="s">
        <v>1107</v>
      </c>
      <c r="B279" s="5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hidden="1">
      <c r="A280" t="s">
        <v>1111</v>
      </c>
      <c r="B280" s="5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hidden="1">
      <c r="A281" t="s">
        <v>1115</v>
      </c>
      <c r="B281" s="5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hidden="1">
      <c r="A282" t="s">
        <v>1119</v>
      </c>
      <c r="B282" s="5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hidden="1">
      <c r="A283" t="s">
        <v>1123</v>
      </c>
      <c r="B283" s="5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L283" t="s">
        <v>4296</v>
      </c>
      <c r="M283" t="s">
        <v>29</v>
      </c>
      <c r="N283">
        <v>2619.16</v>
      </c>
    </row>
    <row r="284" spans="1:14" hidden="1">
      <c r="A284" t="s">
        <v>1127</v>
      </c>
      <c r="B284" s="5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hidden="1">
      <c r="A285" t="s">
        <v>1131</v>
      </c>
      <c r="B285" s="5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L285" t="s">
        <v>4296</v>
      </c>
      <c r="M285" t="s">
        <v>76</v>
      </c>
      <c r="N285">
        <v>2161.3200000000002</v>
      </c>
    </row>
    <row r="286" spans="1:14" hidden="1">
      <c r="A286" t="s">
        <v>1135</v>
      </c>
      <c r="B286" s="5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hidden="1">
      <c r="A287" t="s">
        <v>1139</v>
      </c>
      <c r="B287" s="5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L287" t="s">
        <v>4296</v>
      </c>
      <c r="M287" t="s">
        <v>76</v>
      </c>
      <c r="N287">
        <v>338.31</v>
      </c>
    </row>
    <row r="288" spans="1:14" hidden="1">
      <c r="A288" t="s">
        <v>1142</v>
      </c>
      <c r="B288" s="5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hidden="1">
      <c r="A289" t="s">
        <v>1145</v>
      </c>
      <c r="B289" s="5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L289" t="s">
        <v>4296</v>
      </c>
      <c r="M289" t="s">
        <v>45</v>
      </c>
      <c r="N289">
        <v>2620.7199999999998</v>
      </c>
    </row>
    <row r="290" spans="1:14" hidden="1">
      <c r="A290" t="s">
        <v>1149</v>
      </c>
      <c r="B290" s="5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hidden="1">
      <c r="A291" t="s">
        <v>1153</v>
      </c>
      <c r="B291" s="5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hidden="1">
      <c r="A292" t="s">
        <v>1156</v>
      </c>
      <c r="B292" s="5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hidden="1">
      <c r="A293" t="s">
        <v>1159</v>
      </c>
      <c r="B293" s="5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hidden="1">
      <c r="A294" t="s">
        <v>1163</v>
      </c>
      <c r="B294" s="5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L294" t="s">
        <v>4296</v>
      </c>
      <c r="M294" t="s">
        <v>45</v>
      </c>
      <c r="N294">
        <v>65.95</v>
      </c>
    </row>
    <row r="295" spans="1:14" hidden="1">
      <c r="A295" t="s">
        <v>1166</v>
      </c>
      <c r="B295" s="5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L295" t="s">
        <v>4296</v>
      </c>
      <c r="M295" t="s">
        <v>22</v>
      </c>
      <c r="N295">
        <v>1852.16</v>
      </c>
    </row>
    <row r="296" spans="1:14" hidden="1">
      <c r="A296" t="s">
        <v>1170</v>
      </c>
      <c r="B296" s="5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hidden="1">
      <c r="A297" t="s">
        <v>1174</v>
      </c>
      <c r="B297" s="5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hidden="1">
      <c r="A298" t="s">
        <v>1178</v>
      </c>
      <c r="B298" s="5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hidden="1">
      <c r="A299" t="s">
        <v>1181</v>
      </c>
      <c r="B299" s="5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hidden="1">
      <c r="A300" t="s">
        <v>1185</v>
      </c>
      <c r="B300" s="5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L300" t="s">
        <v>4296</v>
      </c>
      <c r="M300" t="s">
        <v>38</v>
      </c>
      <c r="N300">
        <v>1204.68</v>
      </c>
    </row>
    <row r="301" spans="1:14" hidden="1">
      <c r="A301" t="s">
        <v>1188</v>
      </c>
      <c r="B301" s="5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hidden="1">
      <c r="A302" t="s">
        <v>1192</v>
      </c>
      <c r="B302" s="5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hidden="1">
      <c r="A303" t="s">
        <v>1196</v>
      </c>
      <c r="B303" s="5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hidden="1">
      <c r="A304" t="s">
        <v>1200</v>
      </c>
      <c r="B304" s="5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hidden="1">
      <c r="A305" t="s">
        <v>1204</v>
      </c>
      <c r="B305" s="5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L305" t="s">
        <v>4296</v>
      </c>
      <c r="M305" t="s">
        <v>76</v>
      </c>
      <c r="N305">
        <v>30.54</v>
      </c>
    </row>
    <row r="306" spans="1:14" hidden="1">
      <c r="A306" t="s">
        <v>1208</v>
      </c>
      <c r="B306" s="5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hidden="1">
      <c r="A307" t="s">
        <v>1212</v>
      </c>
      <c r="B307" s="5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hidden="1">
      <c r="A308" t="s">
        <v>1216</v>
      </c>
      <c r="B308" s="5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hidden="1">
      <c r="A309" t="s">
        <v>1220</v>
      </c>
      <c r="B309" s="5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L309" t="s">
        <v>4296</v>
      </c>
      <c r="M309" t="s">
        <v>38</v>
      </c>
      <c r="N309">
        <v>1672.23</v>
      </c>
    </row>
    <row r="310" spans="1:14" hidden="1">
      <c r="A310" t="s">
        <v>1224</v>
      </c>
      <c r="B310" s="5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hidden="1">
      <c r="A311" t="s">
        <v>1227</v>
      </c>
      <c r="B311" s="5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hidden="1">
      <c r="A312" t="s">
        <v>1231</v>
      </c>
      <c r="B312" s="5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L312" t="s">
        <v>4296</v>
      </c>
      <c r="M312" t="s">
        <v>29</v>
      </c>
      <c r="N312">
        <v>397.44</v>
      </c>
    </row>
    <row r="313" spans="1:14" hidden="1">
      <c r="A313" t="s">
        <v>1235</v>
      </c>
      <c r="B313" s="5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L313" t="s">
        <v>4296</v>
      </c>
      <c r="M313" t="s">
        <v>22</v>
      </c>
      <c r="N313">
        <v>2446.85</v>
      </c>
    </row>
    <row r="314" spans="1:14" hidden="1">
      <c r="A314" t="s">
        <v>1239</v>
      </c>
      <c r="B314" s="5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hidden="1">
      <c r="A315" t="s">
        <v>1242</v>
      </c>
      <c r="B315" s="5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hidden="1">
      <c r="A316" t="s">
        <v>1246</v>
      </c>
      <c r="B316" s="5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hidden="1">
      <c r="A317" t="s">
        <v>1250</v>
      </c>
      <c r="B317" s="5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hidden="1">
      <c r="A318" t="s">
        <v>1254</v>
      </c>
      <c r="B318" s="5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hidden="1">
      <c r="A319" t="s">
        <v>1258</v>
      </c>
      <c r="B319" s="5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L319" t="s">
        <v>4296</v>
      </c>
      <c r="M319" t="s">
        <v>22</v>
      </c>
      <c r="N319">
        <v>279.89999999999998</v>
      </c>
    </row>
    <row r="320" spans="1:14" hidden="1">
      <c r="A320" t="s">
        <v>1262</v>
      </c>
      <c r="B320" s="5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hidden="1">
      <c r="A321" t="s">
        <v>1265</v>
      </c>
      <c r="B321" s="5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L321" t="s">
        <v>4296</v>
      </c>
      <c r="M321" t="s">
        <v>22</v>
      </c>
      <c r="N321">
        <v>1126.1199999999999</v>
      </c>
    </row>
    <row r="322" spans="1:14" hidden="1">
      <c r="A322" t="s">
        <v>1269</v>
      </c>
      <c r="B322" s="5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hidden="1">
      <c r="A323" t="s">
        <v>1273</v>
      </c>
      <c r="B323" s="5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hidden="1">
      <c r="A324" t="s">
        <v>1276</v>
      </c>
      <c r="B324" s="5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hidden="1">
      <c r="A325" t="s">
        <v>1279</v>
      </c>
      <c r="B325" s="5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hidden="1">
      <c r="A326" t="s">
        <v>1283</v>
      </c>
      <c r="B326" s="5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L326" t="s">
        <v>4296</v>
      </c>
      <c r="M326" t="s">
        <v>29</v>
      </c>
      <c r="N326">
        <v>212.79</v>
      </c>
    </row>
    <row r="327" spans="1:14" hidden="1">
      <c r="A327" t="s">
        <v>1287</v>
      </c>
      <c r="B327" s="5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L327" t="s">
        <v>4296</v>
      </c>
      <c r="M327" t="s">
        <v>29</v>
      </c>
      <c r="N327">
        <v>1084.17</v>
      </c>
    </row>
    <row r="328" spans="1:14">
      <c r="A328" t="s">
        <v>1291</v>
      </c>
      <c r="B328" s="5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hidden="1">
      <c r="A329" t="s">
        <v>1294</v>
      </c>
      <c r="B329" s="5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>
      <c r="A330" t="s">
        <v>1297</v>
      </c>
      <c r="B330" s="5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hidden="1">
      <c r="A331" t="s">
        <v>1301</v>
      </c>
      <c r="B331" s="5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L331" t="s">
        <v>4296</v>
      </c>
      <c r="M331" t="s">
        <v>76</v>
      </c>
      <c r="N331">
        <v>1132.6400000000001</v>
      </c>
    </row>
    <row r="332" spans="1:14" hidden="1">
      <c r="A332" t="s">
        <v>1304</v>
      </c>
      <c r="B332" s="5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hidden="1">
      <c r="A333" t="s">
        <v>1308</v>
      </c>
      <c r="B333" s="5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hidden="1">
      <c r="A334" t="s">
        <v>1311</v>
      </c>
      <c r="B334" s="5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hidden="1">
      <c r="A335" t="s">
        <v>1315</v>
      </c>
      <c r="B335" s="5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hidden="1">
      <c r="A336" t="s">
        <v>1319</v>
      </c>
      <c r="B336" s="5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hidden="1">
      <c r="A337" t="s">
        <v>1323</v>
      </c>
      <c r="B337" s="5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L337" t="s">
        <v>4296</v>
      </c>
      <c r="M337" t="s">
        <v>38</v>
      </c>
      <c r="N337">
        <v>617.58000000000004</v>
      </c>
    </row>
    <row r="338" spans="1:14" hidden="1">
      <c r="A338" t="s">
        <v>1326</v>
      </c>
      <c r="B338" s="5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hidden="1">
      <c r="A339" t="s">
        <v>1330</v>
      </c>
      <c r="B339" s="5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hidden="1">
      <c r="A340" t="s">
        <v>1334</v>
      </c>
      <c r="B340" s="5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L340" t="s">
        <v>4296</v>
      </c>
      <c r="M340" t="s">
        <v>29</v>
      </c>
      <c r="N340">
        <v>1527.45</v>
      </c>
    </row>
    <row r="341" spans="1:14" hidden="1">
      <c r="A341" t="s">
        <v>1338</v>
      </c>
      <c r="B341" s="5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hidden="1">
      <c r="A342" t="s">
        <v>1342</v>
      </c>
      <c r="B342" s="5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L342" t="s">
        <v>4296</v>
      </c>
      <c r="M342" t="s">
        <v>38</v>
      </c>
      <c r="N342">
        <v>2606.25</v>
      </c>
    </row>
    <row r="343" spans="1:14" hidden="1">
      <c r="A343" t="s">
        <v>1346</v>
      </c>
      <c r="B343" s="5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hidden="1">
      <c r="A344" t="s">
        <v>1350</v>
      </c>
      <c r="B344" s="5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L344" t="s">
        <v>4296</v>
      </c>
      <c r="M344" t="s">
        <v>29</v>
      </c>
      <c r="N344">
        <v>2332.1</v>
      </c>
    </row>
    <row r="345" spans="1:14" hidden="1">
      <c r="A345" t="s">
        <v>1354</v>
      </c>
      <c r="B345" s="5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hidden="1">
      <c r="A346" t="s">
        <v>1358</v>
      </c>
      <c r="B346" s="5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hidden="1">
      <c r="A347" t="s">
        <v>1362</v>
      </c>
      <c r="B347" s="5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hidden="1">
      <c r="A348" t="s">
        <v>1366</v>
      </c>
      <c r="B348" s="5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L348" t="s">
        <v>4296</v>
      </c>
      <c r="M348" t="s">
        <v>29</v>
      </c>
      <c r="N348">
        <v>655.09</v>
      </c>
    </row>
    <row r="349" spans="1:14" hidden="1">
      <c r="A349" t="s">
        <v>1370</v>
      </c>
      <c r="B349" s="5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hidden="1">
      <c r="A350" t="s">
        <v>1374</v>
      </c>
      <c r="B350" s="5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hidden="1">
      <c r="A351" t="s">
        <v>1378</v>
      </c>
      <c r="B351" s="5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hidden="1">
      <c r="A352" t="s">
        <v>1382</v>
      </c>
      <c r="B352" s="5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L352" t="s">
        <v>4296</v>
      </c>
      <c r="M352" t="s">
        <v>22</v>
      </c>
      <c r="N352">
        <v>108.82</v>
      </c>
    </row>
    <row r="353" spans="1:14" hidden="1">
      <c r="A353" t="s">
        <v>1386</v>
      </c>
      <c r="B353" s="5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L353" t="s">
        <v>4296</v>
      </c>
      <c r="M353" t="s">
        <v>22</v>
      </c>
      <c r="N353">
        <v>64.66</v>
      </c>
    </row>
    <row r="354" spans="1:14" hidden="1">
      <c r="A354" t="s">
        <v>1390</v>
      </c>
      <c r="B354" s="5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</v>
      </c>
    </row>
    <row r="355" spans="1:14" hidden="1">
      <c r="A355" t="s">
        <v>1394</v>
      </c>
      <c r="B355" s="5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hidden="1">
      <c r="A356" t="s">
        <v>1398</v>
      </c>
      <c r="B356" s="5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L356" t="s">
        <v>4296</v>
      </c>
      <c r="M356" t="s">
        <v>22</v>
      </c>
      <c r="N356">
        <v>693.41</v>
      </c>
    </row>
    <row r="357" spans="1:14" hidden="1">
      <c r="A357" t="s">
        <v>1402</v>
      </c>
      <c r="B357" s="5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hidden="1">
      <c r="A358" t="s">
        <v>1406</v>
      </c>
      <c r="B358" s="5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hidden="1">
      <c r="A359" t="s">
        <v>1410</v>
      </c>
      <c r="B359" s="5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hidden="1">
      <c r="A360" t="s">
        <v>1413</v>
      </c>
      <c r="B360" s="5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hidden="1">
      <c r="A361" t="s">
        <v>1417</v>
      </c>
      <c r="B361" s="5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hidden="1">
      <c r="A362" t="s">
        <v>1421</v>
      </c>
      <c r="B362" s="5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L362" t="s">
        <v>4296</v>
      </c>
      <c r="M362" t="s">
        <v>22</v>
      </c>
      <c r="N362">
        <v>2358.2800000000002</v>
      </c>
    </row>
    <row r="363" spans="1:14" hidden="1">
      <c r="A363" t="s">
        <v>1425</v>
      </c>
      <c r="B363" s="5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hidden="1">
      <c r="A364" t="s">
        <v>1429</v>
      </c>
      <c r="B364" s="5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hidden="1">
      <c r="A365" t="s">
        <v>1433</v>
      </c>
      <c r="B365" s="5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hidden="1">
      <c r="A366" t="s">
        <v>1436</v>
      </c>
      <c r="B366" s="5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hidden="1">
      <c r="A367" t="s">
        <v>1439</v>
      </c>
      <c r="B367" s="5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hidden="1">
      <c r="A368" t="s">
        <v>1442</v>
      </c>
      <c r="B368" s="5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L368" t="s">
        <v>4296</v>
      </c>
      <c r="M368" t="s">
        <v>29</v>
      </c>
      <c r="N368">
        <v>1806.72</v>
      </c>
    </row>
    <row r="369" spans="1:14" hidden="1">
      <c r="A369" t="s">
        <v>1446</v>
      </c>
      <c r="B369" s="5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hidden="1">
      <c r="A370" t="s">
        <v>1449</v>
      </c>
      <c r="B370" s="5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L370" t="s">
        <v>4296</v>
      </c>
      <c r="M370" t="s">
        <v>76</v>
      </c>
      <c r="N370">
        <v>813.06</v>
      </c>
    </row>
    <row r="371" spans="1:14" hidden="1">
      <c r="A371" t="s">
        <v>1453</v>
      </c>
      <c r="B371" s="5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hidden="1">
      <c r="A372" t="s">
        <v>1457</v>
      </c>
      <c r="B372" s="5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hidden="1">
      <c r="A373" t="s">
        <v>1461</v>
      </c>
      <c r="B373" s="5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hidden="1">
      <c r="A374" t="s">
        <v>1464</v>
      </c>
      <c r="B374" s="5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L374" t="s">
        <v>4296</v>
      </c>
      <c r="M374" t="s">
        <v>29</v>
      </c>
      <c r="N374">
        <v>1450.59</v>
      </c>
    </row>
    <row r="375" spans="1:14" hidden="1">
      <c r="A375" t="s">
        <v>1468</v>
      </c>
      <c r="B375" s="5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hidden="1">
      <c r="A376" t="s">
        <v>1472</v>
      </c>
      <c r="B376" s="5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hidden="1">
      <c r="A377" t="s">
        <v>1475</v>
      </c>
      <c r="B377" s="5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hidden="1">
      <c r="A378" t="s">
        <v>1479</v>
      </c>
      <c r="B378" s="5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hidden="1">
      <c r="A379" t="s">
        <v>1483</v>
      </c>
      <c r="B379" s="5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hidden="1">
      <c r="A380" t="s">
        <v>1486</v>
      </c>
      <c r="B380" s="5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hidden="1">
      <c r="A381" t="s">
        <v>1490</v>
      </c>
      <c r="B381" s="5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L381" t="s">
        <v>4296</v>
      </c>
      <c r="M381" t="s">
        <v>76</v>
      </c>
      <c r="N381">
        <v>893.01</v>
      </c>
    </row>
    <row r="382" spans="1:14" hidden="1">
      <c r="A382" t="s">
        <v>1493</v>
      </c>
      <c r="B382" s="5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hidden="1">
      <c r="A383" t="s">
        <v>1496</v>
      </c>
      <c r="B383" s="5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hidden="1">
      <c r="A384" t="s">
        <v>1499</v>
      </c>
      <c r="B384" s="5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hidden="1">
      <c r="A385" t="s">
        <v>1503</v>
      </c>
      <c r="B385" s="5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hidden="1">
      <c r="A386" t="s">
        <v>1506</v>
      </c>
      <c r="B386" s="5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hidden="1">
      <c r="A387" t="s">
        <v>1510</v>
      </c>
      <c r="B387" s="5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hidden="1">
      <c r="A388" t="s">
        <v>1513</v>
      </c>
      <c r="B388" s="5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L388" t="s">
        <v>4296</v>
      </c>
      <c r="M388" t="s">
        <v>38</v>
      </c>
      <c r="N388">
        <v>93.02</v>
      </c>
    </row>
    <row r="389" spans="1:14" hidden="1">
      <c r="A389" t="s">
        <v>1517</v>
      </c>
      <c r="B389" s="5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hidden="1">
      <c r="A390" t="s">
        <v>1520</v>
      </c>
      <c r="B390" s="5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hidden="1">
      <c r="A391" t="s">
        <v>1523</v>
      </c>
      <c r="B391" s="5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hidden="1">
      <c r="A392" t="s">
        <v>1527</v>
      </c>
      <c r="B392" s="5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hidden="1">
      <c r="A393" t="s">
        <v>1530</v>
      </c>
      <c r="B393" s="5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hidden="1">
      <c r="A394" t="s">
        <v>1533</v>
      </c>
      <c r="B394" s="5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hidden="1">
      <c r="A395" t="s">
        <v>1536</v>
      </c>
      <c r="B395" s="5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L395" t="s">
        <v>4296</v>
      </c>
      <c r="M395" t="s">
        <v>76</v>
      </c>
      <c r="N395">
        <v>75.010000000000005</v>
      </c>
    </row>
    <row r="396" spans="1:14" hidden="1">
      <c r="A396" t="s">
        <v>1540</v>
      </c>
      <c r="B396" s="5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L396" t="s">
        <v>4296</v>
      </c>
      <c r="M396" t="s">
        <v>45</v>
      </c>
      <c r="N396">
        <v>2647.75</v>
      </c>
    </row>
    <row r="397" spans="1:14" hidden="1">
      <c r="A397" t="s">
        <v>1544</v>
      </c>
      <c r="B397" s="5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hidden="1">
      <c r="A398" t="s">
        <v>1547</v>
      </c>
      <c r="B398" s="5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hidden="1">
      <c r="A399" t="s">
        <v>1551</v>
      </c>
      <c r="B399" s="5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hidden="1">
      <c r="A400" t="s">
        <v>1555</v>
      </c>
      <c r="B400" s="5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hidden="1">
      <c r="A401" t="s">
        <v>1558</v>
      </c>
      <c r="B401" s="5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hidden="1">
      <c r="A402" t="s">
        <v>1562</v>
      </c>
      <c r="B402" s="5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hidden="1">
      <c r="A403" t="s">
        <v>1566</v>
      </c>
      <c r="B403" s="5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L403" t="s">
        <v>4296</v>
      </c>
      <c r="M403" t="s">
        <v>29</v>
      </c>
      <c r="N403">
        <v>538.67999999999995</v>
      </c>
    </row>
    <row r="404" spans="1:14" hidden="1">
      <c r="A404" t="s">
        <v>1569</v>
      </c>
      <c r="B404" s="5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L404" t="s">
        <v>4296</v>
      </c>
      <c r="M404" t="s">
        <v>29</v>
      </c>
      <c r="N404">
        <v>1686.9</v>
      </c>
    </row>
    <row r="405" spans="1:14" hidden="1">
      <c r="A405" t="s">
        <v>1573</v>
      </c>
      <c r="B405" s="5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hidden="1">
      <c r="A406" t="s">
        <v>1576</v>
      </c>
      <c r="B406" s="5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L406" t="s">
        <v>4296</v>
      </c>
      <c r="M406" t="s">
        <v>22</v>
      </c>
      <c r="N406">
        <v>198.2</v>
      </c>
    </row>
    <row r="407" spans="1:14" hidden="1">
      <c r="A407" t="s">
        <v>1579</v>
      </c>
      <c r="B407" s="5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hidden="1">
      <c r="A408" t="s">
        <v>1582</v>
      </c>
      <c r="B408" s="5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hidden="1">
      <c r="A409" t="s">
        <v>1585</v>
      </c>
      <c r="B409" s="5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hidden="1">
      <c r="A410" t="s">
        <v>1588</v>
      </c>
      <c r="B410" s="5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hidden="1">
      <c r="A411" t="s">
        <v>1592</v>
      </c>
      <c r="B411" s="5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hidden="1">
      <c r="A412" t="s">
        <v>1596</v>
      </c>
      <c r="B412" s="5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L412" t="s">
        <v>4296</v>
      </c>
      <c r="M412" t="s">
        <v>38</v>
      </c>
      <c r="N412">
        <v>1036.46</v>
      </c>
    </row>
    <row r="413" spans="1:14" hidden="1">
      <c r="A413" t="s">
        <v>1600</v>
      </c>
      <c r="B413" s="5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L413" t="s">
        <v>4296</v>
      </c>
      <c r="M413" t="s">
        <v>45</v>
      </c>
      <c r="N413">
        <v>79.02</v>
      </c>
    </row>
    <row r="414" spans="1:14" hidden="1">
      <c r="A414" t="s">
        <v>1603</v>
      </c>
      <c r="B414" s="5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L414" t="s">
        <v>4296</v>
      </c>
      <c r="M414" t="s">
        <v>45</v>
      </c>
      <c r="N414">
        <v>665.05</v>
      </c>
    </row>
    <row r="415" spans="1:14" hidden="1">
      <c r="A415" t="s">
        <v>1607</v>
      </c>
      <c r="B415" s="5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hidden="1">
      <c r="A416" t="s">
        <v>1611</v>
      </c>
      <c r="B416" s="5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hidden="1">
      <c r="A417" t="s">
        <v>1615</v>
      </c>
      <c r="B417" s="5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hidden="1">
      <c r="A418" t="s">
        <v>1618</v>
      </c>
      <c r="B418" s="5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hidden="1">
      <c r="A419" t="s">
        <v>1622</v>
      </c>
      <c r="B419" s="5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L419" t="s">
        <v>4296</v>
      </c>
      <c r="M419" t="s">
        <v>76</v>
      </c>
      <c r="N419">
        <v>277.05</v>
      </c>
    </row>
    <row r="420" spans="1:14" hidden="1">
      <c r="A420" t="s">
        <v>1626</v>
      </c>
      <c r="B420" s="5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L420" t="s">
        <v>4296</v>
      </c>
      <c r="M420" t="s">
        <v>45</v>
      </c>
      <c r="N420">
        <v>310.93</v>
      </c>
    </row>
    <row r="421" spans="1:14" hidden="1">
      <c r="A421" t="s">
        <v>1630</v>
      </c>
      <c r="B421" s="5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hidden="1">
      <c r="A422" t="s">
        <v>1633</v>
      </c>
      <c r="B422" s="5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hidden="1">
      <c r="A423" t="s">
        <v>1637</v>
      </c>
      <c r="B423" s="5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L423" t="s">
        <v>4296</v>
      </c>
      <c r="M423" t="s">
        <v>38</v>
      </c>
      <c r="N423">
        <v>576.41999999999996</v>
      </c>
    </row>
    <row r="424" spans="1:14" hidden="1">
      <c r="A424" t="s">
        <v>1641</v>
      </c>
      <c r="B424" s="5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hidden="1">
      <c r="A425" t="s">
        <v>1644</v>
      </c>
      <c r="B425" s="5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hidden="1">
      <c r="A426" t="s">
        <v>1647</v>
      </c>
      <c r="B426" s="5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L426" t="s">
        <v>4296</v>
      </c>
      <c r="M426" t="s">
        <v>38</v>
      </c>
      <c r="N426">
        <v>114.7</v>
      </c>
    </row>
    <row r="427" spans="1:14" hidden="1">
      <c r="A427" t="s">
        <v>1650</v>
      </c>
      <c r="B427" s="5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hidden="1">
      <c r="A428" t="s">
        <v>1654</v>
      </c>
      <c r="B428" s="5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L428" t="s">
        <v>4296</v>
      </c>
      <c r="M428" t="s">
        <v>45</v>
      </c>
      <c r="N428">
        <v>287.25</v>
      </c>
    </row>
    <row r="429" spans="1:14" hidden="1">
      <c r="A429" t="s">
        <v>1658</v>
      </c>
      <c r="B429" s="5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hidden="1">
      <c r="A430" t="s">
        <v>1662</v>
      </c>
      <c r="B430" s="5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hidden="1">
      <c r="A431" t="s">
        <v>1665</v>
      </c>
      <c r="B431" s="5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hidden="1">
      <c r="A432" t="s">
        <v>1668</v>
      </c>
      <c r="B432" s="5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hidden="1">
      <c r="A433" t="s">
        <v>1672</v>
      </c>
      <c r="B433" s="5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hidden="1">
      <c r="A434" t="s">
        <v>1675</v>
      </c>
      <c r="B434" s="5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L434" t="s">
        <v>4296</v>
      </c>
      <c r="M434" t="s">
        <v>29</v>
      </c>
      <c r="N434">
        <v>848.64</v>
      </c>
    </row>
    <row r="435" spans="1:14" hidden="1">
      <c r="A435" t="s">
        <v>1679</v>
      </c>
      <c r="B435" s="5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hidden="1">
      <c r="A436" t="s">
        <v>1682</v>
      </c>
      <c r="B436" s="5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L436" t="s">
        <v>4296</v>
      </c>
      <c r="M436" t="s">
        <v>45</v>
      </c>
      <c r="N436">
        <v>1638.4</v>
      </c>
    </row>
    <row r="437" spans="1:14" hidden="1">
      <c r="A437" t="s">
        <v>1685</v>
      </c>
      <c r="B437" s="5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hidden="1">
      <c r="A438" t="s">
        <v>1688</v>
      </c>
      <c r="B438" s="5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L438" t="s">
        <v>4296</v>
      </c>
      <c r="M438" t="s">
        <v>76</v>
      </c>
      <c r="N438">
        <v>885.32</v>
      </c>
    </row>
    <row r="439" spans="1:14" hidden="1">
      <c r="A439" t="s">
        <v>1691</v>
      </c>
      <c r="B439" s="5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hidden="1">
      <c r="A440" t="s">
        <v>1695</v>
      </c>
      <c r="B440" s="5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hidden="1">
      <c r="A441" t="s">
        <v>1699</v>
      </c>
      <c r="B441" s="5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hidden="1">
      <c r="A442" t="s">
        <v>1703</v>
      </c>
      <c r="B442" s="5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hidden="1">
      <c r="A443" t="s">
        <v>1706</v>
      </c>
      <c r="B443" s="5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hidden="1">
      <c r="A444" t="s">
        <v>1710</v>
      </c>
      <c r="B444" s="5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hidden="1">
      <c r="A445" t="s">
        <v>1714</v>
      </c>
      <c r="B445" s="5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L445" t="s">
        <v>4296</v>
      </c>
      <c r="M445" t="s">
        <v>45</v>
      </c>
      <c r="N445">
        <v>139.28</v>
      </c>
    </row>
    <row r="446" spans="1:14" hidden="1">
      <c r="A446" t="s">
        <v>1717</v>
      </c>
      <c r="B446" s="5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hidden="1">
      <c r="A447" t="s">
        <v>1721</v>
      </c>
      <c r="B447" s="5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hidden="1">
      <c r="A448" t="s">
        <v>1725</v>
      </c>
      <c r="B448" s="5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hidden="1">
      <c r="A449" t="s">
        <v>1729</v>
      </c>
      <c r="B449" s="5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L449" t="s">
        <v>4296</v>
      </c>
      <c r="M449" t="s">
        <v>45</v>
      </c>
      <c r="N449">
        <v>833.62</v>
      </c>
    </row>
    <row r="450" spans="1:14" hidden="1">
      <c r="A450" t="s">
        <v>1733</v>
      </c>
      <c r="B450" s="5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hidden="1">
      <c r="A451" t="s">
        <v>1737</v>
      </c>
      <c r="B451" s="5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L451" t="s">
        <v>4296</v>
      </c>
      <c r="M451" t="s">
        <v>22</v>
      </c>
      <c r="N451">
        <v>759.15</v>
      </c>
    </row>
    <row r="452" spans="1:14" hidden="1">
      <c r="A452" t="s">
        <v>1741</v>
      </c>
      <c r="B452" s="5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hidden="1">
      <c r="A453" t="s">
        <v>1745</v>
      </c>
      <c r="B453" s="5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hidden="1">
      <c r="A454" t="s">
        <v>1748</v>
      </c>
      <c r="B454" s="5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hidden="1">
      <c r="A455" t="s">
        <v>1752</v>
      </c>
      <c r="B455" s="5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hidden="1">
      <c r="A456" t="s">
        <v>1756</v>
      </c>
      <c r="B456" s="5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hidden="1">
      <c r="A457" t="s">
        <v>1760</v>
      </c>
      <c r="B457" s="5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hidden="1">
      <c r="A458" t="s">
        <v>1764</v>
      </c>
      <c r="B458" s="5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hidden="1">
      <c r="A459" t="s">
        <v>1767</v>
      </c>
      <c r="B459" s="5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hidden="1">
      <c r="A460" t="s">
        <v>1771</v>
      </c>
      <c r="B460" s="5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hidden="1">
      <c r="A461" t="s">
        <v>1774</v>
      </c>
      <c r="B461" s="5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L461" t="s">
        <v>4296</v>
      </c>
      <c r="M461" t="s">
        <v>22</v>
      </c>
      <c r="N461">
        <v>334.39</v>
      </c>
    </row>
    <row r="462" spans="1:14" hidden="1">
      <c r="A462" t="s">
        <v>1777</v>
      </c>
      <c r="B462" s="5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hidden="1">
      <c r="A463" t="s">
        <v>1781</v>
      </c>
      <c r="B463" s="5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hidden="1">
      <c r="A464" t="s">
        <v>1784</v>
      </c>
      <c r="B464" s="5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L464" t="s">
        <v>4296</v>
      </c>
      <c r="M464" t="s">
        <v>29</v>
      </c>
      <c r="N464">
        <v>252.68</v>
      </c>
    </row>
    <row r="465" spans="1:14" hidden="1">
      <c r="A465" t="s">
        <v>1788</v>
      </c>
      <c r="B465" s="5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hidden="1">
      <c r="A466" t="s">
        <v>1792</v>
      </c>
      <c r="B466" s="5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hidden="1">
      <c r="A467" t="s">
        <v>1796</v>
      </c>
      <c r="B467" s="5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L467" t="s">
        <v>4296</v>
      </c>
      <c r="M467" t="s">
        <v>76</v>
      </c>
      <c r="N467">
        <v>2567.4499999999998</v>
      </c>
    </row>
    <row r="468" spans="1:14" hidden="1">
      <c r="A468" t="s">
        <v>1800</v>
      </c>
      <c r="B468" s="5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hidden="1">
      <c r="A469" t="s">
        <v>1803</v>
      </c>
      <c r="B469" s="5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hidden="1">
      <c r="A470" t="s">
        <v>1806</v>
      </c>
      <c r="B470" s="5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>
      <c r="A471" t="s">
        <v>1810</v>
      </c>
      <c r="B471" s="5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L471" t="s">
        <v>4296</v>
      </c>
      <c r="M471" t="s">
        <v>45</v>
      </c>
      <c r="N471">
        <v>3384.9</v>
      </c>
    </row>
    <row r="472" spans="1:14" hidden="1">
      <c r="A472" t="s">
        <v>1813</v>
      </c>
      <c r="B472" s="5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hidden="1">
      <c r="A473" t="s">
        <v>1817</v>
      </c>
      <c r="B473" s="5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hidden="1">
      <c r="A474" t="s">
        <v>1821</v>
      </c>
      <c r="B474" s="5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hidden="1">
      <c r="A475" t="s">
        <v>1825</v>
      </c>
      <c r="B475" s="5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L475" t="s">
        <v>4296</v>
      </c>
      <c r="M475" t="s">
        <v>45</v>
      </c>
      <c r="N475">
        <v>29.86</v>
      </c>
    </row>
    <row r="476" spans="1:14" hidden="1">
      <c r="A476" t="s">
        <v>1829</v>
      </c>
      <c r="B476" s="5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hidden="1">
      <c r="A477" t="s">
        <v>1832</v>
      </c>
      <c r="B477" s="5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hidden="1">
      <c r="A478" t="s">
        <v>1836</v>
      </c>
      <c r="B478" s="5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hidden="1">
      <c r="A479" t="s">
        <v>1840</v>
      </c>
      <c r="B479" s="5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hidden="1">
      <c r="A480" t="s">
        <v>1844</v>
      </c>
      <c r="B480" s="5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hidden="1">
      <c r="A481" t="s">
        <v>1847</v>
      </c>
      <c r="B481" s="5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L481" t="s">
        <v>4296</v>
      </c>
      <c r="M481" t="s">
        <v>76</v>
      </c>
      <c r="N481">
        <v>101.16</v>
      </c>
    </row>
    <row r="482" spans="1:14" hidden="1">
      <c r="A482" t="s">
        <v>1851</v>
      </c>
      <c r="B482" s="5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hidden="1">
      <c r="A483" t="s">
        <v>1854</v>
      </c>
      <c r="B483" s="5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hidden="1">
      <c r="A484" t="s">
        <v>1857</v>
      </c>
      <c r="B484" s="5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L484" t="s">
        <v>4296</v>
      </c>
      <c r="M484" t="s">
        <v>22</v>
      </c>
      <c r="N484">
        <v>1144.23</v>
      </c>
    </row>
    <row r="485" spans="1:14" hidden="1">
      <c r="A485" t="s">
        <v>1860</v>
      </c>
      <c r="B485" s="5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hidden="1">
      <c r="A486" t="s">
        <v>1864</v>
      </c>
      <c r="B486" s="5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L486" t="s">
        <v>4296</v>
      </c>
      <c r="M486" t="s">
        <v>45</v>
      </c>
      <c r="N486">
        <v>60.04</v>
      </c>
    </row>
    <row r="487" spans="1:14" hidden="1">
      <c r="A487" t="s">
        <v>1867</v>
      </c>
      <c r="B487" s="5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hidden="1">
      <c r="A488" t="s">
        <v>1871</v>
      </c>
      <c r="B488" s="5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hidden="1">
      <c r="A489" t="s">
        <v>1874</v>
      </c>
      <c r="B489" s="5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hidden="1">
      <c r="A490" t="s">
        <v>1878</v>
      </c>
      <c r="B490" s="5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hidden="1">
      <c r="A491" t="s">
        <v>1882</v>
      </c>
      <c r="B491" s="5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hidden="1">
      <c r="A492" t="s">
        <v>1885</v>
      </c>
      <c r="B492" s="5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L492" t="s">
        <v>4296</v>
      </c>
      <c r="M492" t="s">
        <v>45</v>
      </c>
      <c r="N492">
        <v>2339.0500000000002</v>
      </c>
    </row>
    <row r="493" spans="1:14" hidden="1">
      <c r="A493" t="s">
        <v>1889</v>
      </c>
      <c r="B493" s="5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hidden="1">
      <c r="A494" t="s">
        <v>1892</v>
      </c>
      <c r="B494" s="5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hidden="1">
      <c r="A495" t="s">
        <v>1895</v>
      </c>
      <c r="B495" s="5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hidden="1">
      <c r="A496" t="s">
        <v>1899</v>
      </c>
      <c r="B496" s="5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hidden="1">
      <c r="A497" t="s">
        <v>1903</v>
      </c>
      <c r="B497" s="5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hidden="1">
      <c r="A498" t="s">
        <v>1906</v>
      </c>
      <c r="B498" s="5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hidden="1">
      <c r="A499" t="s">
        <v>1910</v>
      </c>
      <c r="B499" s="5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L499" t="s">
        <v>4296</v>
      </c>
      <c r="M499" t="s">
        <v>76</v>
      </c>
      <c r="N499">
        <v>336.87</v>
      </c>
    </row>
    <row r="500" spans="1:14" hidden="1">
      <c r="A500" t="s">
        <v>1914</v>
      </c>
      <c r="B500" s="5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hidden="1">
      <c r="A501" t="s">
        <v>1917</v>
      </c>
      <c r="B501" s="5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hidden="1">
      <c r="A502" t="s">
        <v>1921</v>
      </c>
      <c r="B502" s="5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hidden="1">
      <c r="A503" t="s">
        <v>1925</v>
      </c>
      <c r="B503" s="5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hidden="1">
      <c r="A504" t="s">
        <v>1928</v>
      </c>
      <c r="B504" s="5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hidden="1">
      <c r="A505" t="s">
        <v>1932</v>
      </c>
      <c r="B505" s="5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hidden="1">
      <c r="A506" t="s">
        <v>1936</v>
      </c>
      <c r="B506" s="5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hidden="1">
      <c r="A507" t="s">
        <v>1940</v>
      </c>
      <c r="B507" s="5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L507" t="s">
        <v>4296</v>
      </c>
      <c r="M507" t="s">
        <v>38</v>
      </c>
      <c r="N507">
        <v>869.94</v>
      </c>
    </row>
    <row r="508" spans="1:14" hidden="1">
      <c r="A508" t="s">
        <v>1943</v>
      </c>
      <c r="B508" s="5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hidden="1">
      <c r="A509" t="s">
        <v>1947</v>
      </c>
      <c r="B509" s="5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hidden="1">
      <c r="A510" t="s">
        <v>1950</v>
      </c>
      <c r="B510" s="5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L510" t="s">
        <v>4296</v>
      </c>
      <c r="M510" t="s">
        <v>29</v>
      </c>
      <c r="N510">
        <v>558.27</v>
      </c>
    </row>
    <row r="511" spans="1:14" hidden="1">
      <c r="A511" t="s">
        <v>1954</v>
      </c>
      <c r="B511" s="5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hidden="1">
      <c r="A512" t="s">
        <v>1958</v>
      </c>
      <c r="B512" s="5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hidden="1">
      <c r="A513" t="s">
        <v>1962</v>
      </c>
      <c r="B513" s="5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hidden="1">
      <c r="A514" t="s">
        <v>1965</v>
      </c>
      <c r="B514" s="5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hidden="1">
      <c r="A515" t="s">
        <v>1968</v>
      </c>
      <c r="B515" s="5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L515" t="s">
        <v>4296</v>
      </c>
      <c r="M515" t="s">
        <v>29</v>
      </c>
      <c r="N515">
        <v>284.64</v>
      </c>
    </row>
    <row r="516" spans="1:14" hidden="1">
      <c r="A516" t="s">
        <v>1971</v>
      </c>
      <c r="B516" s="5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912.45</v>
      </c>
    </row>
    <row r="517" spans="1:14" hidden="1">
      <c r="A517" t="s">
        <v>1974</v>
      </c>
      <c r="B517" s="5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hidden="1">
      <c r="A518" t="s">
        <v>1977</v>
      </c>
      <c r="B518" s="5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L518" t="s">
        <v>4296</v>
      </c>
      <c r="M518" t="s">
        <v>45</v>
      </c>
      <c r="N518">
        <v>500.97</v>
      </c>
    </row>
    <row r="519" spans="1:14" hidden="1">
      <c r="A519" t="s">
        <v>1980</v>
      </c>
      <c r="B519" s="5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hidden="1">
      <c r="A520" t="s">
        <v>1983</v>
      </c>
      <c r="B520" s="5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hidden="1">
      <c r="A521" t="s">
        <v>1986</v>
      </c>
      <c r="B521" s="5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hidden="1">
      <c r="A522" t="s">
        <v>1990</v>
      </c>
      <c r="B522" s="5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L522" t="s">
        <v>4296</v>
      </c>
      <c r="M522" t="s">
        <v>29</v>
      </c>
      <c r="N522">
        <v>1907.94</v>
      </c>
    </row>
    <row r="523" spans="1:14" hidden="1">
      <c r="A523" t="s">
        <v>1994</v>
      </c>
      <c r="B523" s="5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L523" t="s">
        <v>4296</v>
      </c>
      <c r="M523" t="s">
        <v>45</v>
      </c>
      <c r="N523">
        <v>528.05999999999995</v>
      </c>
    </row>
    <row r="524" spans="1:14" hidden="1">
      <c r="A524" t="s">
        <v>1998</v>
      </c>
      <c r="B524" s="5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hidden="1">
      <c r="A525" t="s">
        <v>2001</v>
      </c>
      <c r="B525" s="5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hidden="1">
      <c r="A526" t="s">
        <v>2004</v>
      </c>
      <c r="B526" s="5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L526" t="s">
        <v>4296</v>
      </c>
      <c r="M526" t="s">
        <v>29</v>
      </c>
      <c r="N526">
        <v>153</v>
      </c>
    </row>
    <row r="527" spans="1:14" hidden="1">
      <c r="A527" t="s">
        <v>2007</v>
      </c>
      <c r="B527" s="5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hidden="1">
      <c r="A528" t="s">
        <v>2010</v>
      </c>
      <c r="B528" s="5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hidden="1">
      <c r="A529" t="s">
        <v>2013</v>
      </c>
      <c r="B529" s="5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hidden="1">
      <c r="A530" t="s">
        <v>2016</v>
      </c>
      <c r="B530" s="5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hidden="1">
      <c r="A531" t="s">
        <v>2019</v>
      </c>
      <c r="B531" s="5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hidden="1">
      <c r="A532" t="s">
        <v>2023</v>
      </c>
      <c r="B532" s="5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L532" t="s">
        <v>4296</v>
      </c>
      <c r="M532" t="s">
        <v>76</v>
      </c>
      <c r="N532">
        <v>357.64</v>
      </c>
    </row>
    <row r="533" spans="1:14" hidden="1">
      <c r="A533" t="s">
        <v>2027</v>
      </c>
      <c r="B533" s="5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L533" t="s">
        <v>4296</v>
      </c>
      <c r="M533" t="s">
        <v>29</v>
      </c>
      <c r="N533">
        <v>1600.05</v>
      </c>
    </row>
    <row r="534" spans="1:14" hidden="1">
      <c r="A534" t="s">
        <v>2031</v>
      </c>
      <c r="B534" s="5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L534" t="s">
        <v>4296</v>
      </c>
      <c r="M534" t="s">
        <v>38</v>
      </c>
      <c r="N534">
        <v>82</v>
      </c>
    </row>
    <row r="535" spans="1:14" hidden="1">
      <c r="A535" t="s">
        <v>2035</v>
      </c>
      <c r="B535" s="5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hidden="1">
      <c r="A536" t="s">
        <v>2038</v>
      </c>
      <c r="B536" s="5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hidden="1">
      <c r="A537" t="s">
        <v>2042</v>
      </c>
      <c r="B537" s="5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hidden="1">
      <c r="A538" t="s">
        <v>2045</v>
      </c>
      <c r="B538" s="5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L538" t="s">
        <v>4296</v>
      </c>
      <c r="M538" t="s">
        <v>38</v>
      </c>
      <c r="N538">
        <v>616.1</v>
      </c>
    </row>
    <row r="539" spans="1:14" hidden="1">
      <c r="A539" t="s">
        <v>2049</v>
      </c>
      <c r="B539" s="5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hidden="1">
      <c r="A540" t="s">
        <v>2052</v>
      </c>
      <c r="B540" s="5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hidden="1">
      <c r="A541" t="s">
        <v>2056</v>
      </c>
      <c r="B541" s="5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hidden="1">
      <c r="A542" t="s">
        <v>2060</v>
      </c>
      <c r="B542" s="5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L542" t="s">
        <v>4296</v>
      </c>
      <c r="M542" t="s">
        <v>29</v>
      </c>
      <c r="N542">
        <v>3243.25</v>
      </c>
    </row>
    <row r="543" spans="1:14" hidden="1">
      <c r="A543" t="s">
        <v>2064</v>
      </c>
      <c r="B543" s="5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L543" t="s">
        <v>4296</v>
      </c>
      <c r="M543" t="s">
        <v>22</v>
      </c>
      <c r="N543">
        <v>2280.3000000000002</v>
      </c>
    </row>
    <row r="544" spans="1:14" hidden="1">
      <c r="A544" t="s">
        <v>2068</v>
      </c>
      <c r="B544" s="5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hidden="1">
      <c r="A545" t="s">
        <v>2071</v>
      </c>
      <c r="B545" s="5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hidden="1">
      <c r="A546" t="s">
        <v>2074</v>
      </c>
      <c r="B546" s="5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hidden="1">
      <c r="A547" t="s">
        <v>2077</v>
      </c>
      <c r="B547" s="5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L547" t="s">
        <v>4296</v>
      </c>
      <c r="M547" t="s">
        <v>22</v>
      </c>
      <c r="N547">
        <v>196.94</v>
      </c>
    </row>
    <row r="548" spans="1:14" hidden="1">
      <c r="A548" t="s">
        <v>2081</v>
      </c>
      <c r="B548" s="5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hidden="1">
      <c r="A549" t="s">
        <v>2084</v>
      </c>
      <c r="B549" s="5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hidden="1">
      <c r="A550" t="s">
        <v>2088</v>
      </c>
      <c r="B550" s="5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hidden="1">
      <c r="A551" t="s">
        <v>2091</v>
      </c>
      <c r="B551" s="5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hidden="1">
      <c r="A552" t="s">
        <v>2095</v>
      </c>
      <c r="B552" s="5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hidden="1">
      <c r="A553" t="s">
        <v>2098</v>
      </c>
      <c r="B553" s="5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hidden="1">
      <c r="A554" t="s">
        <v>2101</v>
      </c>
      <c r="B554" s="5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hidden="1">
      <c r="A555" t="s">
        <v>2104</v>
      </c>
      <c r="B555" s="5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hidden="1">
      <c r="A556" t="s">
        <v>2108</v>
      </c>
      <c r="B556" s="5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hidden="1">
      <c r="A557" t="s">
        <v>2111</v>
      </c>
      <c r="B557" s="5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L557" t="s">
        <v>4296</v>
      </c>
      <c r="M557" t="s">
        <v>45</v>
      </c>
      <c r="N557">
        <v>92.04</v>
      </c>
    </row>
    <row r="558" spans="1:14" hidden="1">
      <c r="A558" t="s">
        <v>2114</v>
      </c>
      <c r="B558" s="5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hidden="1">
      <c r="A559" t="s">
        <v>2118</v>
      </c>
      <c r="B559" s="5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hidden="1">
      <c r="A560" t="s">
        <v>2122</v>
      </c>
      <c r="B560" s="5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hidden="1">
      <c r="A561" t="s">
        <v>2126</v>
      </c>
      <c r="B561" s="5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hidden="1">
      <c r="A562" t="s">
        <v>2129</v>
      </c>
      <c r="B562" s="5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L562" t="s">
        <v>4296</v>
      </c>
      <c r="M562" t="s">
        <v>38</v>
      </c>
      <c r="N562">
        <v>2355.4</v>
      </c>
    </row>
    <row r="563" spans="1:14" hidden="1">
      <c r="A563" t="s">
        <v>2133</v>
      </c>
      <c r="B563" s="5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L563" t="s">
        <v>4296</v>
      </c>
      <c r="M563" t="s">
        <v>76</v>
      </c>
      <c r="N563">
        <v>989.56</v>
      </c>
    </row>
    <row r="564" spans="1:14" hidden="1">
      <c r="A564" t="s">
        <v>2137</v>
      </c>
      <c r="B564" s="5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hidden="1">
      <c r="A565" t="s">
        <v>2140</v>
      </c>
      <c r="B565" s="5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hidden="1">
      <c r="A566" t="s">
        <v>2144</v>
      </c>
      <c r="B566" s="5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hidden="1">
      <c r="A567" t="s">
        <v>2148</v>
      </c>
      <c r="B567" s="5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L567" t="s">
        <v>4296</v>
      </c>
      <c r="M567" t="s">
        <v>45</v>
      </c>
      <c r="N567">
        <v>1539.9</v>
      </c>
    </row>
    <row r="568" spans="1:14" hidden="1">
      <c r="A568" t="s">
        <v>2151</v>
      </c>
      <c r="B568" s="5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hidden="1">
      <c r="A569" t="s">
        <v>2155</v>
      </c>
      <c r="B569" s="5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hidden="1">
      <c r="A570" t="s">
        <v>2158</v>
      </c>
      <c r="B570" s="5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L570" t="s">
        <v>4296</v>
      </c>
      <c r="M570" t="s">
        <v>76</v>
      </c>
      <c r="N570">
        <v>687.98</v>
      </c>
    </row>
    <row r="571" spans="1:14" hidden="1">
      <c r="A571" t="s">
        <v>2161</v>
      </c>
      <c r="B571" s="5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hidden="1">
      <c r="A572" t="s">
        <v>2164</v>
      </c>
      <c r="B572" s="5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hidden="1">
      <c r="A573" t="s">
        <v>2167</v>
      </c>
      <c r="B573" s="5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hidden="1">
      <c r="A574" t="s">
        <v>2170</v>
      </c>
      <c r="B574" s="5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hidden="1">
      <c r="A575" t="s">
        <v>2173</v>
      </c>
      <c r="B575" s="5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L575" t="s">
        <v>4296</v>
      </c>
      <c r="M575" t="s">
        <v>22</v>
      </c>
      <c r="N575">
        <v>2107.1</v>
      </c>
    </row>
    <row r="576" spans="1:14" hidden="1">
      <c r="A576" t="s">
        <v>2176</v>
      </c>
      <c r="B576" s="5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hidden="1">
      <c r="A577" t="s">
        <v>2179</v>
      </c>
      <c r="B577" s="5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hidden="1">
      <c r="A578" t="s">
        <v>2183</v>
      </c>
      <c r="B578" s="5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L578" t="s">
        <v>4296</v>
      </c>
      <c r="M578" t="s">
        <v>45</v>
      </c>
      <c r="N578">
        <v>395.4</v>
      </c>
    </row>
    <row r="579" spans="1:14" hidden="1">
      <c r="A579" t="s">
        <v>2186</v>
      </c>
      <c r="B579" s="5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hidden="1">
      <c r="A580" t="s">
        <v>2189</v>
      </c>
      <c r="B580" s="5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hidden="1">
      <c r="A581" t="s">
        <v>2192</v>
      </c>
      <c r="B581" s="5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hidden="1">
      <c r="A582" t="s">
        <v>2195</v>
      </c>
      <c r="B582" s="5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hidden="1">
      <c r="A583" t="s">
        <v>2199</v>
      </c>
      <c r="B583" s="5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L583" t="s">
        <v>4296</v>
      </c>
      <c r="M583" t="s">
        <v>29</v>
      </c>
      <c r="N583">
        <v>627.34</v>
      </c>
    </row>
    <row r="584" spans="1:14" hidden="1">
      <c r="A584" t="s">
        <v>2202</v>
      </c>
      <c r="B584" s="5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hidden="1">
      <c r="A585" t="s">
        <v>2205</v>
      </c>
      <c r="B585" s="5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L585" t="s">
        <v>4296</v>
      </c>
      <c r="M585" t="s">
        <v>22</v>
      </c>
      <c r="N585">
        <v>463.11</v>
      </c>
    </row>
    <row r="586" spans="1:14" hidden="1">
      <c r="A586" t="s">
        <v>2208</v>
      </c>
      <c r="B586" s="5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hidden="1">
      <c r="A587" t="s">
        <v>2212</v>
      </c>
      <c r="B587" s="5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hidden="1">
      <c r="A588" t="s">
        <v>2215</v>
      </c>
      <c r="B588" s="5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hidden="1">
      <c r="A589" t="s">
        <v>2219</v>
      </c>
      <c r="B589" s="5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hidden="1">
      <c r="A590" t="s">
        <v>2223</v>
      </c>
      <c r="B590" s="5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L590" t="s">
        <v>4296</v>
      </c>
      <c r="M590" t="s">
        <v>76</v>
      </c>
      <c r="N590">
        <v>2311.2800000000002</v>
      </c>
    </row>
    <row r="591" spans="1:14" hidden="1">
      <c r="A591" t="s">
        <v>2226</v>
      </c>
      <c r="B591" s="5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hidden="1">
      <c r="A592" t="s">
        <v>2230</v>
      </c>
      <c r="B592" s="5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L592" t="s">
        <v>4296</v>
      </c>
      <c r="M592" t="s">
        <v>38</v>
      </c>
      <c r="N592">
        <v>922.26</v>
      </c>
    </row>
    <row r="593" spans="1:14" hidden="1">
      <c r="A593" t="s">
        <v>2234</v>
      </c>
      <c r="B593" s="5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hidden="1">
      <c r="A594" t="s">
        <v>2238</v>
      </c>
      <c r="B594" s="5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L594" t="s">
        <v>4296</v>
      </c>
      <c r="M594" t="s">
        <v>76</v>
      </c>
      <c r="N594">
        <v>612.80999999999995</v>
      </c>
    </row>
    <row r="595" spans="1:14" hidden="1">
      <c r="A595" t="s">
        <v>2241</v>
      </c>
      <c r="B595" s="5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hidden="1">
      <c r="A596" t="s">
        <v>2244</v>
      </c>
      <c r="B596" s="5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L596" t="s">
        <v>4296</v>
      </c>
      <c r="M596" t="s">
        <v>38</v>
      </c>
      <c r="N596">
        <v>363.2</v>
      </c>
    </row>
    <row r="597" spans="1:14" hidden="1">
      <c r="A597" t="s">
        <v>2247</v>
      </c>
      <c r="B597" s="5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hidden="1">
      <c r="A598" t="s">
        <v>2251</v>
      </c>
      <c r="B598" s="5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hidden="1">
      <c r="A599" t="s">
        <v>2255</v>
      </c>
      <c r="B599" s="5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hidden="1">
      <c r="A600" t="s">
        <v>2259</v>
      </c>
      <c r="B600" s="5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L600" t="s">
        <v>4296</v>
      </c>
      <c r="M600" t="s">
        <v>45</v>
      </c>
      <c r="N600">
        <v>2476.75</v>
      </c>
    </row>
    <row r="601" spans="1:14" hidden="1">
      <c r="A601" t="s">
        <v>2262</v>
      </c>
      <c r="B601" s="5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hidden="1">
      <c r="A602" t="s">
        <v>2265</v>
      </c>
      <c r="B602" s="5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hidden="1">
      <c r="A603" t="s">
        <v>2268</v>
      </c>
      <c r="B603" s="5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L603" t="s">
        <v>4296</v>
      </c>
      <c r="M603" t="s">
        <v>29</v>
      </c>
      <c r="N603">
        <v>124.1</v>
      </c>
    </row>
    <row r="604" spans="1:14" hidden="1">
      <c r="A604" t="s">
        <v>2272</v>
      </c>
      <c r="B604" s="5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hidden="1">
      <c r="A605" t="s">
        <v>2274</v>
      </c>
      <c r="B605" s="5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hidden="1">
      <c r="A606" t="s">
        <v>2278</v>
      </c>
      <c r="B606" s="5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L606" t="s">
        <v>4296</v>
      </c>
      <c r="M606" t="s">
        <v>45</v>
      </c>
      <c r="N606">
        <v>97.86</v>
      </c>
    </row>
    <row r="607" spans="1:14" hidden="1">
      <c r="A607" t="s">
        <v>2281</v>
      </c>
      <c r="B607" s="5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hidden="1">
      <c r="A608" t="s">
        <v>2285</v>
      </c>
      <c r="B608" s="5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hidden="1">
      <c r="A609" t="s">
        <v>2288</v>
      </c>
      <c r="B609" s="5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hidden="1">
      <c r="A610" t="s">
        <v>2292</v>
      </c>
      <c r="B610" s="5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hidden="1">
      <c r="A611" t="s">
        <v>2296</v>
      </c>
      <c r="B611" s="5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hidden="1">
      <c r="A612" t="s">
        <v>2300</v>
      </c>
      <c r="B612" s="5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hidden="1">
      <c r="A613" t="s">
        <v>2303</v>
      </c>
      <c r="B613" s="5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hidden="1">
      <c r="A614" t="s">
        <v>2306</v>
      </c>
      <c r="B614" s="5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L614" t="s">
        <v>4296</v>
      </c>
      <c r="M614" t="s">
        <v>76</v>
      </c>
      <c r="N614">
        <v>1335.36</v>
      </c>
    </row>
    <row r="615" spans="1:14" hidden="1">
      <c r="A615" t="s">
        <v>2309</v>
      </c>
      <c r="B615" s="5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hidden="1">
      <c r="A616" t="s">
        <v>2313</v>
      </c>
      <c r="B616" s="5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L616" t="s">
        <v>4296</v>
      </c>
      <c r="M616" t="s">
        <v>29</v>
      </c>
      <c r="N616">
        <v>96.81</v>
      </c>
    </row>
    <row r="617" spans="1:14" hidden="1">
      <c r="A617" t="s">
        <v>2316</v>
      </c>
      <c r="B617" s="5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hidden="1">
      <c r="A618" t="s">
        <v>2319</v>
      </c>
      <c r="B618" s="5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hidden="1">
      <c r="A619" t="s">
        <v>2323</v>
      </c>
      <c r="B619" s="5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L619" t="s">
        <v>4296</v>
      </c>
      <c r="M619" t="s">
        <v>29</v>
      </c>
      <c r="N619">
        <v>553.41</v>
      </c>
    </row>
    <row r="620" spans="1:14" hidden="1">
      <c r="A620" t="s">
        <v>2327</v>
      </c>
      <c r="B620" s="5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L620" t="s">
        <v>4296</v>
      </c>
      <c r="M620" t="s">
        <v>22</v>
      </c>
      <c r="N620">
        <v>411.34</v>
      </c>
    </row>
    <row r="621" spans="1:14" hidden="1">
      <c r="A621" t="s">
        <v>2331</v>
      </c>
      <c r="B621" s="5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L621" t="s">
        <v>4296</v>
      </c>
      <c r="M621" t="s">
        <v>29</v>
      </c>
      <c r="N621">
        <v>532.89</v>
      </c>
    </row>
    <row r="622" spans="1:14" hidden="1">
      <c r="A622" t="s">
        <v>2334</v>
      </c>
      <c r="B622" s="5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hidden="1">
      <c r="A623" t="s">
        <v>2338</v>
      </c>
      <c r="B623" s="5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hidden="1">
      <c r="A624" t="s">
        <v>2341</v>
      </c>
      <c r="B624" s="5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L624" t="s">
        <v>4296</v>
      </c>
      <c r="M624" t="s">
        <v>45</v>
      </c>
      <c r="N624">
        <v>1181.9000000000001</v>
      </c>
    </row>
    <row r="625" spans="1:14" hidden="1">
      <c r="A625" t="s">
        <v>2344</v>
      </c>
      <c r="B625" s="5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hidden="1">
      <c r="A626" t="s">
        <v>2348</v>
      </c>
      <c r="B626" s="5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L626" t="s">
        <v>4296</v>
      </c>
      <c r="M626" t="s">
        <v>38</v>
      </c>
      <c r="N626">
        <v>1709.8</v>
      </c>
    </row>
    <row r="627" spans="1:14" hidden="1">
      <c r="A627" t="s">
        <v>2351</v>
      </c>
      <c r="B627" s="5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hidden="1">
      <c r="A628" t="s">
        <v>2355</v>
      </c>
      <c r="B628" s="5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hidden="1">
      <c r="A629" t="s">
        <v>2358</v>
      </c>
      <c r="B629" s="5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hidden="1">
      <c r="A630" t="s">
        <v>2361</v>
      </c>
      <c r="B630" s="5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hidden="1">
      <c r="A631" t="s">
        <v>2365</v>
      </c>
      <c r="B631" s="5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L631" t="s">
        <v>4296</v>
      </c>
      <c r="M631" t="s">
        <v>29</v>
      </c>
      <c r="N631">
        <v>59.19</v>
      </c>
    </row>
    <row r="632" spans="1:14" hidden="1">
      <c r="A632" t="s">
        <v>2369</v>
      </c>
      <c r="B632" s="5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L632" t="s">
        <v>4296</v>
      </c>
      <c r="M632" t="s">
        <v>22</v>
      </c>
      <c r="N632">
        <v>1244.2</v>
      </c>
    </row>
    <row r="633" spans="1:14" hidden="1">
      <c r="A633" t="s">
        <v>2373</v>
      </c>
      <c r="B633" s="5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>
      <c r="A634" t="s">
        <v>2376</v>
      </c>
      <c r="B634" s="5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hidden="1">
      <c r="A635" t="s">
        <v>2379</v>
      </c>
      <c r="B635" s="5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hidden="1">
      <c r="A636" t="s">
        <v>2382</v>
      </c>
      <c r="B636" s="5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hidden="1">
      <c r="A637" t="s">
        <v>2386</v>
      </c>
      <c r="B637" s="5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L637" t="s">
        <v>4296</v>
      </c>
      <c r="M637" t="s">
        <v>45</v>
      </c>
      <c r="N637">
        <v>191.04</v>
      </c>
    </row>
    <row r="638" spans="1:14" hidden="1">
      <c r="A638" t="s">
        <v>2389</v>
      </c>
      <c r="B638" s="5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hidden="1">
      <c r="A639" t="s">
        <v>2392</v>
      </c>
      <c r="B639" s="5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hidden="1">
      <c r="A640" t="s">
        <v>2396</v>
      </c>
      <c r="B640" s="5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hidden="1">
      <c r="A641" t="s">
        <v>2400</v>
      </c>
      <c r="B641" s="5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L641" t="s">
        <v>4296</v>
      </c>
      <c r="M641" t="s">
        <v>29</v>
      </c>
      <c r="N641">
        <v>529.19000000000005</v>
      </c>
    </row>
    <row r="642" spans="1:14" hidden="1">
      <c r="A642" t="s">
        <v>2403</v>
      </c>
      <c r="B642" s="5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hidden="1">
      <c r="A643" t="s">
        <v>2406</v>
      </c>
      <c r="B643" s="5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hidden="1">
      <c r="A644" t="s">
        <v>2409</v>
      </c>
      <c r="B644" s="5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hidden="1">
      <c r="A645" t="s">
        <v>2413</v>
      </c>
      <c r="B645" s="5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hidden="1">
      <c r="A646" t="s">
        <v>2416</v>
      </c>
      <c r="B646" s="5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hidden="1">
      <c r="A647" t="s">
        <v>2420</v>
      </c>
      <c r="B647" s="5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hidden="1">
      <c r="A648" t="s">
        <v>2423</v>
      </c>
      <c r="B648" s="5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hidden="1">
      <c r="A649" t="s">
        <v>2427</v>
      </c>
      <c r="B649" s="5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hidden="1">
      <c r="A650" t="s">
        <v>2430</v>
      </c>
      <c r="B650" s="5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hidden="1">
      <c r="A651" t="s">
        <v>2434</v>
      </c>
      <c r="B651" s="5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hidden="1">
      <c r="A652" t="s">
        <v>2437</v>
      </c>
      <c r="B652" s="5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hidden="1">
      <c r="A653" t="s">
        <v>2441</v>
      </c>
      <c r="B653" s="5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L653" t="s">
        <v>4296</v>
      </c>
      <c r="M653" t="s">
        <v>76</v>
      </c>
      <c r="N653">
        <v>1939.02</v>
      </c>
    </row>
    <row r="654" spans="1:14" hidden="1">
      <c r="A654" t="s">
        <v>2444</v>
      </c>
      <c r="B654" s="5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hidden="1">
      <c r="A655" t="s">
        <v>2448</v>
      </c>
      <c r="B655" s="5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hidden="1">
      <c r="A656" t="s">
        <v>2451</v>
      </c>
      <c r="B656" s="5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L656" t="s">
        <v>4296</v>
      </c>
      <c r="M656" t="s">
        <v>22</v>
      </c>
      <c r="N656">
        <v>1147.1099999999999</v>
      </c>
    </row>
    <row r="657" spans="1:14" hidden="1">
      <c r="A657" t="s">
        <v>2455</v>
      </c>
      <c r="B657" s="5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hidden="1">
      <c r="A658" t="s">
        <v>2458</v>
      </c>
      <c r="B658" s="5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hidden="1">
      <c r="A659" t="s">
        <v>2462</v>
      </c>
      <c r="B659" s="5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hidden="1">
      <c r="A660" t="s">
        <v>2465</v>
      </c>
      <c r="B660" s="5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hidden="1">
      <c r="A661" t="s">
        <v>2468</v>
      </c>
      <c r="B661" s="5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hidden="1">
      <c r="A662" t="s">
        <v>2471</v>
      </c>
      <c r="B662" s="5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hidden="1">
      <c r="A663" t="s">
        <v>2474</v>
      </c>
      <c r="B663" s="5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hidden="1">
      <c r="A664" t="s">
        <v>2478</v>
      </c>
      <c r="B664" s="5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L664" t="s">
        <v>4296</v>
      </c>
      <c r="M664" t="s">
        <v>45</v>
      </c>
      <c r="N664">
        <v>1316.67</v>
      </c>
    </row>
    <row r="665" spans="1:14" hidden="1">
      <c r="A665" t="s">
        <v>2482</v>
      </c>
      <c r="B665" s="5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hidden="1">
      <c r="A666" t="s">
        <v>2485</v>
      </c>
      <c r="B666" s="5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L666" t="s">
        <v>4296</v>
      </c>
      <c r="M666" t="s">
        <v>45</v>
      </c>
      <c r="N666">
        <v>779</v>
      </c>
    </row>
    <row r="667" spans="1:14" hidden="1">
      <c r="A667" t="s">
        <v>2488</v>
      </c>
      <c r="B667" s="5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hidden="1">
      <c r="A668" t="s">
        <v>2492</v>
      </c>
      <c r="B668" s="5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L668" t="s">
        <v>4296</v>
      </c>
      <c r="M668" t="s">
        <v>38</v>
      </c>
      <c r="N668">
        <v>1308.48</v>
      </c>
    </row>
    <row r="669" spans="1:14" hidden="1">
      <c r="A669" t="s">
        <v>2495</v>
      </c>
      <c r="B669" s="5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hidden="1">
      <c r="A670" t="s">
        <v>2498</v>
      </c>
      <c r="B670" s="5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hidden="1">
      <c r="A671" t="s">
        <v>2501</v>
      </c>
      <c r="B671" s="5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L671" t="s">
        <v>4296</v>
      </c>
      <c r="M671" t="s">
        <v>29</v>
      </c>
      <c r="N671">
        <v>257</v>
      </c>
    </row>
    <row r="672" spans="1:14" hidden="1">
      <c r="A672" t="s">
        <v>2505</v>
      </c>
      <c r="B672" s="5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hidden="1">
      <c r="A673" t="s">
        <v>2508</v>
      </c>
      <c r="B673" s="5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hidden="1">
      <c r="A674" t="s">
        <v>2511</v>
      </c>
      <c r="B674" s="5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hidden="1">
      <c r="A675" t="s">
        <v>2514</v>
      </c>
      <c r="B675" s="5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hidden="1">
      <c r="A676" t="s">
        <v>2517</v>
      </c>
      <c r="B676" s="5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hidden="1">
      <c r="A677" t="s">
        <v>2521</v>
      </c>
      <c r="B677" s="5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L677" t="s">
        <v>4296</v>
      </c>
      <c r="M677" t="s">
        <v>38</v>
      </c>
      <c r="N677">
        <v>1026.06</v>
      </c>
    </row>
    <row r="678" spans="1:14" hidden="1">
      <c r="A678" t="s">
        <v>2524</v>
      </c>
      <c r="B678" s="5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hidden="1">
      <c r="A679" t="s">
        <v>2527</v>
      </c>
      <c r="B679" s="5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hidden="1">
      <c r="A680" t="s">
        <v>2530</v>
      </c>
      <c r="B680" s="5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hidden="1">
      <c r="A681" t="s">
        <v>2533</v>
      </c>
      <c r="B681" s="5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hidden="1">
      <c r="A682" t="s">
        <v>2536</v>
      </c>
      <c r="B682" s="5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L682" t="s">
        <v>4296</v>
      </c>
      <c r="M682" t="s">
        <v>45</v>
      </c>
      <c r="N682">
        <v>1390.17</v>
      </c>
    </row>
    <row r="683" spans="1:14" hidden="1">
      <c r="A683" t="s">
        <v>2540</v>
      </c>
      <c r="B683" s="5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L683" t="s">
        <v>4296</v>
      </c>
      <c r="M683" t="s">
        <v>38</v>
      </c>
      <c r="N683">
        <v>155.27000000000001</v>
      </c>
    </row>
    <row r="684" spans="1:14" hidden="1">
      <c r="A684" t="s">
        <v>2544</v>
      </c>
      <c r="B684" s="5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hidden="1">
      <c r="A685" t="s">
        <v>2547</v>
      </c>
      <c r="B685" s="5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hidden="1">
      <c r="A686" t="s">
        <v>2551</v>
      </c>
      <c r="B686" s="5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L686" t="s">
        <v>4296</v>
      </c>
      <c r="M686" t="s">
        <v>38</v>
      </c>
      <c r="N686">
        <v>139.36000000000001</v>
      </c>
    </row>
    <row r="687" spans="1:14" hidden="1">
      <c r="A687" t="s">
        <v>2555</v>
      </c>
      <c r="B687" s="5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hidden="1">
      <c r="A688" t="s">
        <v>2559</v>
      </c>
      <c r="B688" s="5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hidden="1">
      <c r="A689" t="s">
        <v>2563</v>
      </c>
      <c r="B689" s="5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hidden="1">
      <c r="A690" t="s">
        <v>2567</v>
      </c>
      <c r="B690" s="5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hidden="1">
      <c r="A691" t="s">
        <v>2570</v>
      </c>
      <c r="B691" s="5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L691" t="s">
        <v>4296</v>
      </c>
      <c r="M691" t="s">
        <v>45</v>
      </c>
      <c r="N691">
        <v>889.68</v>
      </c>
    </row>
    <row r="692" spans="1:14" hidden="1">
      <c r="A692" t="s">
        <v>2574</v>
      </c>
      <c r="B692" s="5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L692" t="s">
        <v>4296</v>
      </c>
      <c r="M692" t="s">
        <v>22</v>
      </c>
      <c r="N692">
        <v>24.48</v>
      </c>
    </row>
    <row r="693" spans="1:14" hidden="1">
      <c r="A693" t="s">
        <v>2577</v>
      </c>
      <c r="B693" s="5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L693" t="s">
        <v>4296</v>
      </c>
      <c r="M693" t="s">
        <v>76</v>
      </c>
      <c r="N693">
        <v>717.24</v>
      </c>
    </row>
    <row r="694" spans="1:14" hidden="1">
      <c r="A694" t="s">
        <v>2581</v>
      </c>
      <c r="B694" s="5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hidden="1">
      <c r="A695" t="s">
        <v>2584</v>
      </c>
      <c r="B695" s="5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L695" t="s">
        <v>4296</v>
      </c>
      <c r="M695" t="s">
        <v>29</v>
      </c>
      <c r="N695">
        <v>176.58</v>
      </c>
    </row>
    <row r="696" spans="1:14" hidden="1">
      <c r="A696" t="s">
        <v>2588</v>
      </c>
      <c r="B696" s="5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hidden="1">
      <c r="A697" t="s">
        <v>2591</v>
      </c>
      <c r="B697" s="5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hidden="1">
      <c r="A698" t="s">
        <v>2594</v>
      </c>
      <c r="B698" s="5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hidden="1">
      <c r="A699" t="s">
        <v>2598</v>
      </c>
      <c r="B699" s="5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hidden="1">
      <c r="A700" t="s">
        <v>2601</v>
      </c>
      <c r="B700" s="5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hidden="1">
      <c r="A701" t="s">
        <v>2604</v>
      </c>
      <c r="B701" s="5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L701" t="s">
        <v>4296</v>
      </c>
      <c r="M701" t="s">
        <v>45</v>
      </c>
      <c r="N701">
        <v>1842.45</v>
      </c>
    </row>
    <row r="702" spans="1:14" hidden="1">
      <c r="A702" t="s">
        <v>2608</v>
      </c>
      <c r="B702" s="5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hidden="1">
      <c r="A703" t="s">
        <v>2612</v>
      </c>
      <c r="B703" s="5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hidden="1">
      <c r="A704" t="s">
        <v>2615</v>
      </c>
      <c r="B704" s="5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L704" t="s">
        <v>4296</v>
      </c>
      <c r="M704" t="s">
        <v>38</v>
      </c>
      <c r="N704">
        <v>1687.65</v>
      </c>
    </row>
    <row r="705" spans="1:14" hidden="1">
      <c r="A705" t="s">
        <v>2618</v>
      </c>
      <c r="B705" s="5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hidden="1">
      <c r="A706" t="s">
        <v>2622</v>
      </c>
      <c r="B706" s="5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hidden="1">
      <c r="A707" t="s">
        <v>2625</v>
      </c>
      <c r="B707" s="5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hidden="1">
      <c r="A708" t="s">
        <v>2629</v>
      </c>
      <c r="B708" s="5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hidden="1">
      <c r="A709" t="s">
        <v>2632</v>
      </c>
      <c r="B709" s="5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hidden="1">
      <c r="A710" t="s">
        <v>2635</v>
      </c>
      <c r="B710" s="5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hidden="1">
      <c r="A711" t="s">
        <v>2638</v>
      </c>
      <c r="B711" s="5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hidden="1">
      <c r="A712" t="s">
        <v>2642</v>
      </c>
      <c r="B712" s="5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L712" t="s">
        <v>4296</v>
      </c>
      <c r="M712" t="s">
        <v>76</v>
      </c>
      <c r="N712">
        <v>107.7</v>
      </c>
    </row>
    <row r="713" spans="1:14" hidden="1">
      <c r="A713" t="s">
        <v>2646</v>
      </c>
      <c r="B713" s="5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hidden="1">
      <c r="A714" t="s">
        <v>2650</v>
      </c>
      <c r="B714" s="5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hidden="1">
      <c r="A715" t="s">
        <v>2653</v>
      </c>
      <c r="B715" s="5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hidden="1">
      <c r="A716" t="s">
        <v>2656</v>
      </c>
      <c r="B716" s="5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hidden="1">
      <c r="A717" t="s">
        <v>2659</v>
      </c>
      <c r="B717" s="5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hidden="1">
      <c r="A718" t="s">
        <v>2663</v>
      </c>
      <c r="B718" s="5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hidden="1">
      <c r="A719" t="s">
        <v>2666</v>
      </c>
      <c r="B719" s="5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hidden="1">
      <c r="A720" t="s">
        <v>2670</v>
      </c>
      <c r="B720" s="5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hidden="1">
      <c r="A721" t="s">
        <v>2674</v>
      </c>
      <c r="B721" s="5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hidden="1">
      <c r="A722" t="s">
        <v>2678</v>
      </c>
      <c r="B722" s="5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hidden="1">
      <c r="A723" t="s">
        <v>2682</v>
      </c>
      <c r="B723" s="5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L723" t="s">
        <v>4296</v>
      </c>
      <c r="M723" t="s">
        <v>38</v>
      </c>
      <c r="N723">
        <v>237.18</v>
      </c>
    </row>
    <row r="724" spans="1:14" hidden="1">
      <c r="A724" t="s">
        <v>2686</v>
      </c>
      <c r="B724" s="5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hidden="1">
      <c r="A725" t="s">
        <v>2689</v>
      </c>
      <c r="B725" s="5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hidden="1">
      <c r="A726" t="s">
        <v>2692</v>
      </c>
      <c r="B726" s="5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hidden="1">
      <c r="A727" t="s">
        <v>2695</v>
      </c>
      <c r="B727" s="5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L727" t="s">
        <v>4296</v>
      </c>
      <c r="M727" t="s">
        <v>29</v>
      </c>
      <c r="N727">
        <v>389.7</v>
      </c>
    </row>
    <row r="728" spans="1:14" hidden="1">
      <c r="A728" t="s">
        <v>2698</v>
      </c>
      <c r="B728" s="5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hidden="1">
      <c r="A729" t="s">
        <v>2702</v>
      </c>
      <c r="B729" s="5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hidden="1">
      <c r="A730" t="s">
        <v>2705</v>
      </c>
      <c r="B730" s="5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hidden="1">
      <c r="A731" t="s">
        <v>2709</v>
      </c>
      <c r="B731" s="5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hidden="1">
      <c r="A732" t="s">
        <v>2712</v>
      </c>
      <c r="B732" s="5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hidden="1">
      <c r="A733" t="s">
        <v>2715</v>
      </c>
      <c r="B733" s="5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L733" t="s">
        <v>4296</v>
      </c>
      <c r="M733" t="s">
        <v>38</v>
      </c>
      <c r="N733">
        <v>2922.3</v>
      </c>
    </row>
    <row r="734" spans="1:14" hidden="1">
      <c r="A734" t="s">
        <v>2719</v>
      </c>
      <c r="B734" s="5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L734" t="s">
        <v>4296</v>
      </c>
      <c r="M734" t="s">
        <v>76</v>
      </c>
      <c r="N734">
        <v>132.05000000000001</v>
      </c>
    </row>
    <row r="735" spans="1:14" hidden="1">
      <c r="A735" t="s">
        <v>2722</v>
      </c>
      <c r="B735" s="5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hidden="1">
      <c r="A736" t="s">
        <v>2725</v>
      </c>
      <c r="B736" s="5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hidden="1">
      <c r="A737" t="s">
        <v>2728</v>
      </c>
      <c r="B737" s="5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L737" t="s">
        <v>4296</v>
      </c>
      <c r="M737" t="s">
        <v>38</v>
      </c>
      <c r="N737">
        <v>176.28</v>
      </c>
    </row>
    <row r="738" spans="1:14" hidden="1">
      <c r="A738" t="s">
        <v>2731</v>
      </c>
      <c r="B738" s="5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hidden="1">
      <c r="A739" t="s">
        <v>2734</v>
      </c>
      <c r="B739" s="5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hidden="1">
      <c r="A740" t="s">
        <v>2738</v>
      </c>
      <c r="B740" s="5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hidden="1">
      <c r="A741" t="s">
        <v>2742</v>
      </c>
      <c r="B741" s="5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hidden="1">
      <c r="A742" t="s">
        <v>2745</v>
      </c>
      <c r="B742" s="5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L742" t="s">
        <v>4296</v>
      </c>
      <c r="M742" t="s">
        <v>76</v>
      </c>
      <c r="N742">
        <v>754.94</v>
      </c>
    </row>
    <row r="743" spans="1:14" hidden="1">
      <c r="A743" t="s">
        <v>2748</v>
      </c>
      <c r="B743" s="5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L743" t="s">
        <v>4296</v>
      </c>
      <c r="M743" t="s">
        <v>29</v>
      </c>
      <c r="N743">
        <v>1663.2</v>
      </c>
    </row>
    <row r="744" spans="1:14" hidden="1">
      <c r="A744" t="s">
        <v>2752</v>
      </c>
      <c r="B744" s="5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hidden="1">
      <c r="A745" t="s">
        <v>2755</v>
      </c>
      <c r="B745" s="5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hidden="1">
      <c r="A746" t="s">
        <v>2758</v>
      </c>
      <c r="B746" s="5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hidden="1">
      <c r="A747" t="s">
        <v>2762</v>
      </c>
      <c r="B747" s="5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hidden="1">
      <c r="A748" t="s">
        <v>2766</v>
      </c>
      <c r="B748" s="5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hidden="1">
      <c r="A749" t="s">
        <v>2770</v>
      </c>
      <c r="B749" s="5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hidden="1">
      <c r="A750" t="s">
        <v>2774</v>
      </c>
      <c r="B750" s="5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hidden="1">
      <c r="A751" t="s">
        <v>2777</v>
      </c>
      <c r="B751" s="5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hidden="1">
      <c r="A752" t="s">
        <v>2781</v>
      </c>
      <c r="B752" s="5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hidden="1">
      <c r="A753" t="s">
        <v>2785</v>
      </c>
      <c r="B753" s="5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hidden="1">
      <c r="A754" t="s">
        <v>2789</v>
      </c>
      <c r="B754" s="5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hidden="1">
      <c r="A755" t="s">
        <v>2792</v>
      </c>
      <c r="B755" s="5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hidden="1">
      <c r="A756" t="s">
        <v>2796</v>
      </c>
      <c r="B756" s="5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hidden="1">
      <c r="A757" t="s">
        <v>2800</v>
      </c>
      <c r="B757" s="5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L757" t="s">
        <v>4296</v>
      </c>
      <c r="M757" t="s">
        <v>38</v>
      </c>
      <c r="N757">
        <v>1010.13</v>
      </c>
    </row>
    <row r="758" spans="1:14" hidden="1">
      <c r="A758" t="s">
        <v>2804</v>
      </c>
      <c r="B758" s="5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L758" t="s">
        <v>4296</v>
      </c>
      <c r="M758" t="s">
        <v>76</v>
      </c>
      <c r="N758">
        <v>283.69</v>
      </c>
    </row>
    <row r="759" spans="1:14" hidden="1">
      <c r="A759" t="s">
        <v>2807</v>
      </c>
      <c r="B759" s="5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hidden="1">
      <c r="A760" t="s">
        <v>2810</v>
      </c>
      <c r="B760" s="5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hidden="1">
      <c r="A761" t="s">
        <v>2813</v>
      </c>
      <c r="B761" s="5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hidden="1">
      <c r="A762" t="s">
        <v>2817</v>
      </c>
      <c r="B762" s="5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L762" t="s">
        <v>4296</v>
      </c>
      <c r="M762" t="s">
        <v>76</v>
      </c>
      <c r="N762">
        <v>39.56</v>
      </c>
    </row>
    <row r="763" spans="1:14" hidden="1">
      <c r="A763" t="s">
        <v>2820</v>
      </c>
      <c r="B763" s="5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L763" t="s">
        <v>4296</v>
      </c>
      <c r="M763" t="s">
        <v>76</v>
      </c>
      <c r="N763">
        <v>151.04</v>
      </c>
    </row>
    <row r="764" spans="1:14" hidden="1">
      <c r="A764" t="s">
        <v>2824</v>
      </c>
      <c r="B764" s="5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hidden="1">
      <c r="A765" t="s">
        <v>2827</v>
      </c>
      <c r="B765" s="5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hidden="1">
      <c r="A766" t="s">
        <v>2830</v>
      </c>
      <c r="B766" s="5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hidden="1">
      <c r="A767" t="s">
        <v>2833</v>
      </c>
      <c r="B767" s="5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hidden="1">
      <c r="A768" t="s">
        <v>2836</v>
      </c>
      <c r="B768" s="5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hidden="1">
      <c r="A769" t="s">
        <v>2839</v>
      </c>
      <c r="B769" s="5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L769" t="s">
        <v>4296</v>
      </c>
      <c r="M769" t="s">
        <v>22</v>
      </c>
      <c r="N769">
        <v>646.44000000000005</v>
      </c>
    </row>
    <row r="770" spans="1:14" hidden="1">
      <c r="A770" t="s">
        <v>2843</v>
      </c>
      <c r="B770" s="5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hidden="1">
      <c r="A771" t="s">
        <v>2847</v>
      </c>
      <c r="B771" s="5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L771" t="s">
        <v>4296</v>
      </c>
      <c r="M771" t="s">
        <v>38</v>
      </c>
      <c r="N771">
        <v>2714.2</v>
      </c>
    </row>
    <row r="772" spans="1:14" hidden="1">
      <c r="A772" t="s">
        <v>2850</v>
      </c>
      <c r="B772" s="5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L772" t="s">
        <v>4296</v>
      </c>
      <c r="M772" t="s">
        <v>76</v>
      </c>
      <c r="N772">
        <v>314.38</v>
      </c>
    </row>
    <row r="773" spans="1:14" hidden="1">
      <c r="A773" t="s">
        <v>2853</v>
      </c>
      <c r="B773" s="5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hidden="1">
      <c r="A774" t="s">
        <v>2856</v>
      </c>
      <c r="B774" s="5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L774" t="s">
        <v>4296</v>
      </c>
      <c r="M774" t="s">
        <v>22</v>
      </c>
      <c r="N774">
        <v>604.87</v>
      </c>
    </row>
    <row r="775" spans="1:14" hidden="1">
      <c r="A775" t="s">
        <v>2860</v>
      </c>
      <c r="B775" s="5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L775" t="s">
        <v>4296</v>
      </c>
      <c r="M775" t="s">
        <v>45</v>
      </c>
      <c r="N775">
        <v>1024.6600000000001</v>
      </c>
    </row>
    <row r="776" spans="1:14" hidden="1">
      <c r="A776" t="s">
        <v>2864</v>
      </c>
      <c r="B776" s="5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hidden="1">
      <c r="A777" t="s">
        <v>2868</v>
      </c>
      <c r="B777" s="5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L777" t="s">
        <v>4296</v>
      </c>
      <c r="M777" t="s">
        <v>76</v>
      </c>
      <c r="N777">
        <v>1250.44</v>
      </c>
    </row>
    <row r="778" spans="1:14" hidden="1">
      <c r="A778" t="s">
        <v>2871</v>
      </c>
      <c r="B778" s="5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hidden="1">
      <c r="A779" t="s">
        <v>2875</v>
      </c>
      <c r="B779" s="5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L779" t="s">
        <v>4296</v>
      </c>
      <c r="M779" t="s">
        <v>45</v>
      </c>
      <c r="N779">
        <v>322.45</v>
      </c>
    </row>
    <row r="780" spans="1:14" hidden="1">
      <c r="A780" t="s">
        <v>2878</v>
      </c>
      <c r="B780" s="5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hidden="1">
      <c r="A781" t="s">
        <v>2882</v>
      </c>
      <c r="B781" s="5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hidden="1">
      <c r="A782" t="s">
        <v>2886</v>
      </c>
      <c r="B782" s="5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hidden="1">
      <c r="A783" t="s">
        <v>2889</v>
      </c>
      <c r="B783" s="5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hidden="1">
      <c r="A784" t="s">
        <v>2892</v>
      </c>
      <c r="B784" s="5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hidden="1">
      <c r="A785" t="s">
        <v>2895</v>
      </c>
      <c r="B785" s="5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hidden="1">
      <c r="A786" t="s">
        <v>2898</v>
      </c>
      <c r="B786" s="5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hidden="1">
      <c r="A787" t="s">
        <v>2901</v>
      </c>
      <c r="B787" s="5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hidden="1">
      <c r="A788" t="s">
        <v>2905</v>
      </c>
      <c r="B788" s="5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L788" t="s">
        <v>4296</v>
      </c>
      <c r="M788" t="s">
        <v>29</v>
      </c>
      <c r="N788">
        <v>226.55</v>
      </c>
    </row>
    <row r="789" spans="1:14" hidden="1">
      <c r="A789" t="s">
        <v>2909</v>
      </c>
      <c r="B789" s="5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L789" t="s">
        <v>4296</v>
      </c>
      <c r="M789" t="s">
        <v>76</v>
      </c>
      <c r="N789">
        <v>887.84</v>
      </c>
    </row>
    <row r="790" spans="1:14" hidden="1">
      <c r="A790" t="s">
        <v>2913</v>
      </c>
      <c r="B790" s="5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>
      <c r="A791" t="s">
        <v>2917</v>
      </c>
      <c r="B791" s="5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hidden="1">
      <c r="A792" t="s">
        <v>2921</v>
      </c>
      <c r="B792" s="5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L792" t="s">
        <v>4296</v>
      </c>
      <c r="M792" t="s">
        <v>76</v>
      </c>
      <c r="N792">
        <v>1671.56</v>
      </c>
    </row>
    <row r="793" spans="1:14" hidden="1">
      <c r="A793" t="s">
        <v>2925</v>
      </c>
      <c r="B793" s="5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L793" t="s">
        <v>4296</v>
      </c>
      <c r="M793" t="s">
        <v>38</v>
      </c>
      <c r="N793">
        <v>1637.12</v>
      </c>
    </row>
    <row r="794" spans="1:14" hidden="1">
      <c r="A794" t="s">
        <v>2928</v>
      </c>
      <c r="B794" s="5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hidden="1">
      <c r="A795" t="s">
        <v>2932</v>
      </c>
      <c r="B795" s="5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L795" t="s">
        <v>4296</v>
      </c>
      <c r="M795" t="s">
        <v>29</v>
      </c>
      <c r="N795">
        <v>851.1</v>
      </c>
    </row>
    <row r="796" spans="1:14" hidden="1">
      <c r="A796" t="s">
        <v>2935</v>
      </c>
      <c r="B796" s="5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hidden="1">
      <c r="A797" t="s">
        <v>2939</v>
      </c>
      <c r="B797" s="5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hidden="1">
      <c r="A798" t="s">
        <v>2943</v>
      </c>
      <c r="B798" s="5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hidden="1">
      <c r="A799" t="s">
        <v>2946</v>
      </c>
      <c r="B799" s="5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L799" t="s">
        <v>4296</v>
      </c>
      <c r="M799" t="s">
        <v>45</v>
      </c>
      <c r="N799">
        <v>877.52</v>
      </c>
    </row>
    <row r="800" spans="1:14" hidden="1">
      <c r="A800" t="s">
        <v>2950</v>
      </c>
      <c r="B800" s="5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hidden="1">
      <c r="A801" t="s">
        <v>2953</v>
      </c>
      <c r="B801" s="5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hidden="1">
      <c r="A802" t="s">
        <v>2956</v>
      </c>
      <c r="B802" s="5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hidden="1">
      <c r="A803" t="s">
        <v>2960</v>
      </c>
      <c r="B803" s="5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hidden="1">
      <c r="A804" t="s">
        <v>2963</v>
      </c>
      <c r="B804" s="5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hidden="1">
      <c r="A805" t="s">
        <v>2967</v>
      </c>
      <c r="B805" s="5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hidden="1">
      <c r="A806" t="s">
        <v>2970</v>
      </c>
      <c r="B806" s="5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hidden="1">
      <c r="A807" t="s">
        <v>2974</v>
      </c>
      <c r="B807" s="5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hidden="1">
      <c r="A808" t="s">
        <v>2978</v>
      </c>
      <c r="B808" s="5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hidden="1">
      <c r="A809" t="s">
        <v>2981</v>
      </c>
      <c r="B809" s="5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hidden="1">
      <c r="A810" t="s">
        <v>2985</v>
      </c>
      <c r="B810" s="5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L810" t="s">
        <v>4296</v>
      </c>
      <c r="M810" t="s">
        <v>76</v>
      </c>
      <c r="N810">
        <v>402.15</v>
      </c>
    </row>
    <row r="811" spans="1:14" hidden="1">
      <c r="A811" t="s">
        <v>2989</v>
      </c>
      <c r="B811" s="5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hidden="1">
      <c r="A812" t="s">
        <v>2992</v>
      </c>
      <c r="B812" s="5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L812" t="s">
        <v>4296</v>
      </c>
      <c r="M812" t="s">
        <v>29</v>
      </c>
      <c r="N812">
        <v>553.55999999999995</v>
      </c>
    </row>
    <row r="813" spans="1:14" hidden="1">
      <c r="A813" t="s">
        <v>2996</v>
      </c>
      <c r="B813" s="5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hidden="1">
      <c r="A814" t="s">
        <v>2999</v>
      </c>
      <c r="B814" s="5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hidden="1">
      <c r="A815" t="s">
        <v>3002</v>
      </c>
      <c r="B815" s="5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hidden="1">
      <c r="A816" t="s">
        <v>3005</v>
      </c>
      <c r="B816" s="5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hidden="1">
      <c r="A817" t="s">
        <v>3009</v>
      </c>
      <c r="B817" s="5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hidden="1">
      <c r="A818" t="s">
        <v>3013</v>
      </c>
      <c r="B818" s="5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hidden="1">
      <c r="A819" t="s">
        <v>3016</v>
      </c>
      <c r="B819" s="5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hidden="1">
      <c r="A820" t="s">
        <v>3020</v>
      </c>
      <c r="B820" s="5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hidden="1">
      <c r="A821" t="s">
        <v>3023</v>
      </c>
      <c r="B821" s="5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hidden="1">
      <c r="A822" t="s">
        <v>3027</v>
      </c>
      <c r="B822" s="5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hidden="1">
      <c r="A823" t="s">
        <v>3030</v>
      </c>
      <c r="B823" s="5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hidden="1">
      <c r="A824" t="s">
        <v>3033</v>
      </c>
      <c r="B824" s="5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hidden="1">
      <c r="A825" t="s">
        <v>3036</v>
      </c>
      <c r="B825" s="5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hidden="1">
      <c r="A826" t="s">
        <v>3040</v>
      </c>
      <c r="B826" s="5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hidden="1">
      <c r="A827" t="s">
        <v>3044</v>
      </c>
      <c r="B827" s="5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hidden="1">
      <c r="A828" t="s">
        <v>3048</v>
      </c>
      <c r="B828" s="5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hidden="1">
      <c r="A829" t="s">
        <v>3051</v>
      </c>
      <c r="B829" s="5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hidden="1">
      <c r="A830" t="s">
        <v>3054</v>
      </c>
      <c r="B830" s="5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hidden="1">
      <c r="A831" t="s">
        <v>3058</v>
      </c>
      <c r="B831" s="5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hidden="1">
      <c r="A832" t="s">
        <v>3062</v>
      </c>
      <c r="B832" s="5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hidden="1">
      <c r="A833" t="s">
        <v>3066</v>
      </c>
      <c r="B833" s="5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L833" t="s">
        <v>4296</v>
      </c>
      <c r="M833" t="s">
        <v>76</v>
      </c>
      <c r="N833">
        <v>177.46</v>
      </c>
    </row>
    <row r="834" spans="1:14" hidden="1">
      <c r="A834" t="s">
        <v>3069</v>
      </c>
      <c r="B834" s="5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hidden="1">
      <c r="A835" t="s">
        <v>3072</v>
      </c>
      <c r="B835" s="5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hidden="1">
      <c r="A836" t="s">
        <v>3076</v>
      </c>
      <c r="B836" s="5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L836" t="s">
        <v>4296</v>
      </c>
      <c r="M836" t="s">
        <v>22</v>
      </c>
      <c r="N836">
        <v>110.7</v>
      </c>
    </row>
    <row r="837" spans="1:14" hidden="1">
      <c r="A837" t="s">
        <v>3079</v>
      </c>
      <c r="B837" s="5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hidden="1">
      <c r="A838" t="s">
        <v>3083</v>
      </c>
      <c r="B838" s="5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hidden="1">
      <c r="A839" t="s">
        <v>3086</v>
      </c>
      <c r="B839" s="5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L839" t="s">
        <v>4296</v>
      </c>
      <c r="M839" t="s">
        <v>38</v>
      </c>
      <c r="N839">
        <v>3277.75</v>
      </c>
    </row>
    <row r="840" spans="1:14" hidden="1">
      <c r="A840" t="s">
        <v>3089</v>
      </c>
      <c r="B840" s="5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L840" t="s">
        <v>4296</v>
      </c>
      <c r="M840" t="s">
        <v>45</v>
      </c>
      <c r="N840">
        <v>2308.3200000000002</v>
      </c>
    </row>
    <row r="841" spans="1:14" hidden="1">
      <c r="A841" t="s">
        <v>3092</v>
      </c>
      <c r="B841" s="5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L841" t="s">
        <v>4296</v>
      </c>
      <c r="M841" t="s">
        <v>76</v>
      </c>
      <c r="N841">
        <v>593.91</v>
      </c>
    </row>
    <row r="842" spans="1:14" hidden="1">
      <c r="A842" t="s">
        <v>3095</v>
      </c>
      <c r="B842" s="5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hidden="1">
      <c r="A843" t="s">
        <v>3098</v>
      </c>
      <c r="B843" s="5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L843" t="s">
        <v>4296</v>
      </c>
      <c r="M843" t="s">
        <v>45</v>
      </c>
      <c r="N843">
        <v>886.44</v>
      </c>
    </row>
    <row r="844" spans="1:14" hidden="1">
      <c r="A844" t="s">
        <v>3102</v>
      </c>
      <c r="B844" s="5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hidden="1">
      <c r="A845" t="s">
        <v>3105</v>
      </c>
      <c r="B845" s="5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hidden="1">
      <c r="A846" t="s">
        <v>3109</v>
      </c>
      <c r="B846" s="5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hidden="1">
      <c r="A847" t="s">
        <v>3113</v>
      </c>
      <c r="B847" s="5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hidden="1">
      <c r="A848" t="s">
        <v>3117</v>
      </c>
      <c r="B848" s="5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L848" t="s">
        <v>4296</v>
      </c>
      <c r="M848" t="s">
        <v>29</v>
      </c>
      <c r="N848">
        <v>719.72</v>
      </c>
    </row>
    <row r="849" spans="1:14" hidden="1">
      <c r="A849" t="s">
        <v>3121</v>
      </c>
      <c r="B849" s="5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hidden="1">
      <c r="A850" t="s">
        <v>3124</v>
      </c>
      <c r="B850" s="5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L850" t="s">
        <v>4296</v>
      </c>
      <c r="M850" t="s">
        <v>29</v>
      </c>
      <c r="N850">
        <v>1291.7</v>
      </c>
    </row>
    <row r="851" spans="1:14" hidden="1">
      <c r="A851" t="s">
        <v>3127</v>
      </c>
      <c r="B851" s="5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hidden="1">
      <c r="A852" t="s">
        <v>3130</v>
      </c>
      <c r="B852" s="5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hidden="1">
      <c r="A853" t="s">
        <v>3133</v>
      </c>
      <c r="B853" s="5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hidden="1">
      <c r="A854" t="s">
        <v>3136</v>
      </c>
      <c r="B854" s="5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hidden="1">
      <c r="A855" t="s">
        <v>3140</v>
      </c>
      <c r="B855" s="5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hidden="1">
      <c r="A856" t="s">
        <v>3143</v>
      </c>
      <c r="B856" s="5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hidden="1">
      <c r="A857" t="s">
        <v>3146</v>
      </c>
      <c r="B857" s="5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hidden="1">
      <c r="A858" t="s">
        <v>3149</v>
      </c>
      <c r="B858" s="5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L858" t="s">
        <v>4296</v>
      </c>
      <c r="M858" t="s">
        <v>45</v>
      </c>
      <c r="N858">
        <v>586.62</v>
      </c>
    </row>
    <row r="859" spans="1:14" hidden="1">
      <c r="A859" t="s">
        <v>3152</v>
      </c>
      <c r="B859" s="5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L859" t="s">
        <v>4296</v>
      </c>
      <c r="M859" t="s">
        <v>22</v>
      </c>
      <c r="N859">
        <v>773.52</v>
      </c>
    </row>
    <row r="860" spans="1:14" hidden="1">
      <c r="A860" t="s">
        <v>3155</v>
      </c>
      <c r="B860" s="5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L860" t="s">
        <v>4296</v>
      </c>
      <c r="M860" t="s">
        <v>45</v>
      </c>
      <c r="N860">
        <v>2178.3000000000002</v>
      </c>
    </row>
    <row r="861" spans="1:14" hidden="1">
      <c r="A861" t="s">
        <v>3158</v>
      </c>
      <c r="B861" s="5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hidden="1">
      <c r="A862" t="s">
        <v>3161</v>
      </c>
      <c r="B862" s="5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hidden="1">
      <c r="A863" t="s">
        <v>3164</v>
      </c>
      <c r="B863" s="5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hidden="1">
      <c r="A864" t="s">
        <v>3168</v>
      </c>
      <c r="B864" s="5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hidden="1">
      <c r="A865" t="s">
        <v>3171</v>
      </c>
      <c r="B865" s="5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hidden="1">
      <c r="A866" t="s">
        <v>3174</v>
      </c>
      <c r="B866" s="5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hidden="1">
      <c r="A867" t="s">
        <v>3178</v>
      </c>
      <c r="B867" s="5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hidden="1">
      <c r="A868" t="s">
        <v>3182</v>
      </c>
      <c r="B868" s="5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hidden="1">
      <c r="A869" t="s">
        <v>3186</v>
      </c>
      <c r="B869" s="5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hidden="1">
      <c r="A870" t="s">
        <v>3190</v>
      </c>
      <c r="B870" s="5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L870" t="s">
        <v>4296</v>
      </c>
      <c r="M870" t="s">
        <v>45</v>
      </c>
      <c r="N870">
        <v>1265.28</v>
      </c>
    </row>
    <row r="871" spans="1:14" hidden="1">
      <c r="A871" t="s">
        <v>3194</v>
      </c>
      <c r="B871" s="5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hidden="1">
      <c r="A872" t="s">
        <v>3197</v>
      </c>
      <c r="B872" s="5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hidden="1">
      <c r="A873" t="s">
        <v>3201</v>
      </c>
      <c r="B873" s="5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</v>
      </c>
    </row>
    <row r="874" spans="1:14" hidden="1">
      <c r="A874" t="s">
        <v>3205</v>
      </c>
      <c r="B874" s="5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L874" t="s">
        <v>4296</v>
      </c>
      <c r="M874" t="s">
        <v>38</v>
      </c>
      <c r="N874">
        <v>2517.36</v>
      </c>
    </row>
    <row r="875" spans="1:14" hidden="1">
      <c r="A875" t="s">
        <v>3208</v>
      </c>
      <c r="B875" s="5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hidden="1">
      <c r="A876" t="s">
        <v>3212</v>
      </c>
      <c r="B876" s="5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hidden="1">
      <c r="A877" t="s">
        <v>3215</v>
      </c>
      <c r="B877" s="5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666.95</v>
      </c>
    </row>
    <row r="878" spans="1:14" hidden="1">
      <c r="A878" t="s">
        <v>3218</v>
      </c>
      <c r="B878" s="5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hidden="1">
      <c r="A879" t="s">
        <v>3221</v>
      </c>
      <c r="B879" s="5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hidden="1">
      <c r="A880" t="s">
        <v>3224</v>
      </c>
      <c r="B880" s="5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hidden="1">
      <c r="A881" t="s">
        <v>3228</v>
      </c>
      <c r="B881" s="5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L881" t="s">
        <v>4296</v>
      </c>
      <c r="M881" t="s">
        <v>22</v>
      </c>
      <c r="N881">
        <v>1095.3399999999999</v>
      </c>
    </row>
    <row r="882" spans="1:14" hidden="1">
      <c r="A882" t="s">
        <v>3231</v>
      </c>
      <c r="B882" s="5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hidden="1">
      <c r="A883" t="s">
        <v>3234</v>
      </c>
      <c r="B883" s="5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L883" t="s">
        <v>4296</v>
      </c>
      <c r="M883" t="s">
        <v>22</v>
      </c>
      <c r="N883">
        <v>897.7</v>
      </c>
    </row>
    <row r="884" spans="1:14" hidden="1">
      <c r="A884" t="s">
        <v>3238</v>
      </c>
      <c r="B884" s="5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hidden="1">
      <c r="A885" t="s">
        <v>3241</v>
      </c>
      <c r="B885" s="5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hidden="1">
      <c r="A886" t="s">
        <v>3245</v>
      </c>
      <c r="B886" s="5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L886" t="s">
        <v>4296</v>
      </c>
      <c r="M886" t="s">
        <v>22</v>
      </c>
      <c r="N886">
        <v>595.54</v>
      </c>
    </row>
    <row r="887" spans="1:14" hidden="1">
      <c r="A887" t="s">
        <v>3249</v>
      </c>
      <c r="B887" s="5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hidden="1">
      <c r="A888" t="s">
        <v>3253</v>
      </c>
      <c r="B888" s="5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L888" t="s">
        <v>4296</v>
      </c>
      <c r="M888" t="s">
        <v>76</v>
      </c>
      <c r="N888">
        <v>460.13</v>
      </c>
    </row>
    <row r="889" spans="1:14" hidden="1">
      <c r="A889" t="s">
        <v>3257</v>
      </c>
      <c r="B889" s="5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L889" t="s">
        <v>4296</v>
      </c>
      <c r="M889" t="s">
        <v>76</v>
      </c>
      <c r="N889">
        <v>514.98</v>
      </c>
    </row>
    <row r="890" spans="1:14" hidden="1">
      <c r="A890" t="s">
        <v>3261</v>
      </c>
      <c r="B890" s="5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L890" t="s">
        <v>4296</v>
      </c>
      <c r="M890" t="s">
        <v>22</v>
      </c>
      <c r="N890">
        <v>533.9</v>
      </c>
    </row>
    <row r="891" spans="1:14" hidden="1">
      <c r="A891" t="s">
        <v>3265</v>
      </c>
      <c r="B891" s="5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hidden="1">
      <c r="A892" t="s">
        <v>3269</v>
      </c>
      <c r="B892" s="5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L892" t="s">
        <v>4296</v>
      </c>
      <c r="M892" t="s">
        <v>76</v>
      </c>
      <c r="N892">
        <v>1318.59</v>
      </c>
    </row>
    <row r="893" spans="1:14" hidden="1">
      <c r="A893" t="s">
        <v>3272</v>
      </c>
      <c r="B893" s="5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hidden="1">
      <c r="A894" t="s">
        <v>3276</v>
      </c>
      <c r="B894" s="5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hidden="1">
      <c r="A895" t="s">
        <v>3280</v>
      </c>
      <c r="B895" s="5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hidden="1">
      <c r="A896" t="s">
        <v>3283</v>
      </c>
      <c r="B896" s="5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hidden="1">
      <c r="A897" t="s">
        <v>3286</v>
      </c>
      <c r="B897" s="5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hidden="1">
      <c r="A898" t="s">
        <v>3290</v>
      </c>
      <c r="B898" s="5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hidden="1">
      <c r="A899" t="s">
        <v>3293</v>
      </c>
      <c r="B899" s="5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hidden="1">
      <c r="A900" t="s">
        <v>3296</v>
      </c>
      <c r="B900" s="5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L900" t="s">
        <v>4296</v>
      </c>
      <c r="M900" t="s">
        <v>29</v>
      </c>
      <c r="N900">
        <v>475.11</v>
      </c>
    </row>
    <row r="901" spans="1:14" hidden="1">
      <c r="A901" t="s">
        <v>3299</v>
      </c>
      <c r="B901" s="5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hidden="1">
      <c r="A902" t="s">
        <v>3302</v>
      </c>
      <c r="B902" s="5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L902" t="s">
        <v>4296</v>
      </c>
      <c r="M902" t="s">
        <v>22</v>
      </c>
      <c r="N902">
        <v>369.15</v>
      </c>
    </row>
    <row r="903" spans="1:14" hidden="1">
      <c r="A903" t="s">
        <v>3305</v>
      </c>
      <c r="B903" s="5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hidden="1">
      <c r="A904" t="s">
        <v>3308</v>
      </c>
      <c r="B904" s="5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L904" t="s">
        <v>4296</v>
      </c>
      <c r="M904" t="s">
        <v>45</v>
      </c>
      <c r="N904">
        <v>721</v>
      </c>
    </row>
    <row r="905" spans="1:14" hidden="1">
      <c r="A905" t="s">
        <v>3311</v>
      </c>
      <c r="B905" s="5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L905" t="s">
        <v>4296</v>
      </c>
      <c r="M905" t="s">
        <v>38</v>
      </c>
      <c r="N905">
        <v>1420.47</v>
      </c>
    </row>
    <row r="906" spans="1:14" hidden="1">
      <c r="A906" t="s">
        <v>3314</v>
      </c>
      <c r="B906" s="5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hidden="1">
      <c r="A907" t="s">
        <v>3317</v>
      </c>
      <c r="B907" s="5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hidden="1">
      <c r="A908" t="s">
        <v>3320</v>
      </c>
      <c r="B908" s="5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L908" t="s">
        <v>4296</v>
      </c>
      <c r="M908" t="s">
        <v>38</v>
      </c>
      <c r="N908">
        <v>62.12</v>
      </c>
    </row>
    <row r="909" spans="1:14" hidden="1">
      <c r="A909" t="s">
        <v>3324</v>
      </c>
      <c r="B909" s="5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hidden="1">
      <c r="A910" t="s">
        <v>3327</v>
      </c>
      <c r="B910" s="5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hidden="1">
      <c r="A911" t="s">
        <v>3330</v>
      </c>
      <c r="B911" s="5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hidden="1">
      <c r="A912" t="s">
        <v>3333</v>
      </c>
      <c r="B912" s="5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hidden="1">
      <c r="A913" t="s">
        <v>3336</v>
      </c>
      <c r="B913" s="5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hidden="1">
      <c r="A914" t="s">
        <v>3339</v>
      </c>
      <c r="B914" s="5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hidden="1">
      <c r="A915" t="s">
        <v>3342</v>
      </c>
      <c r="B915" s="5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hidden="1">
      <c r="A916" t="s">
        <v>3345</v>
      </c>
      <c r="B916" s="5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hidden="1">
      <c r="A917" t="s">
        <v>3348</v>
      </c>
      <c r="B917" s="5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hidden="1">
      <c r="A918" t="s">
        <v>3352</v>
      </c>
      <c r="B918" s="5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L918" t="s">
        <v>4296</v>
      </c>
      <c r="M918" t="s">
        <v>29</v>
      </c>
      <c r="N918">
        <v>2894.15</v>
      </c>
    </row>
    <row r="919" spans="1:14" hidden="1">
      <c r="A919" t="s">
        <v>3355</v>
      </c>
      <c r="B919" s="5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hidden="1">
      <c r="A920" t="s">
        <v>3359</v>
      </c>
      <c r="B920" s="5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L920" t="s">
        <v>4296</v>
      </c>
      <c r="M920" t="s">
        <v>22</v>
      </c>
      <c r="N920">
        <v>1841.25</v>
      </c>
    </row>
    <row r="921" spans="1:14" hidden="1">
      <c r="A921" t="s">
        <v>3362</v>
      </c>
      <c r="B921" s="5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hidden="1">
      <c r="A922" t="s">
        <v>3365</v>
      </c>
      <c r="B922" s="5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L922" t="s">
        <v>4296</v>
      </c>
      <c r="M922" t="s">
        <v>22</v>
      </c>
      <c r="N922">
        <v>856.18</v>
      </c>
    </row>
    <row r="923" spans="1:14" hidden="1">
      <c r="A923" t="s">
        <v>3368</v>
      </c>
      <c r="B923" s="5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hidden="1">
      <c r="A924" t="s">
        <v>3372</v>
      </c>
      <c r="B924" s="5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L924" t="s">
        <v>4296</v>
      </c>
      <c r="M924" t="s">
        <v>22</v>
      </c>
      <c r="N924">
        <v>1127.6400000000001</v>
      </c>
    </row>
    <row r="925" spans="1:14" hidden="1">
      <c r="A925" t="s">
        <v>3376</v>
      </c>
      <c r="B925" s="5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hidden="1">
      <c r="A926" t="s">
        <v>3379</v>
      </c>
      <c r="B926" s="5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hidden="1">
      <c r="A927" t="s">
        <v>3382</v>
      </c>
      <c r="B927" s="5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hidden="1">
      <c r="A928" t="s">
        <v>3385</v>
      </c>
      <c r="B928" s="5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hidden="1">
      <c r="A929" t="s">
        <v>3388</v>
      </c>
      <c r="B929" s="5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hidden="1">
      <c r="A930" t="s">
        <v>3391</v>
      </c>
      <c r="B930" s="5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hidden="1">
      <c r="A931" t="s">
        <v>3394</v>
      </c>
      <c r="B931" s="5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L931" t="s">
        <v>4296</v>
      </c>
      <c r="M931" t="s">
        <v>38</v>
      </c>
      <c r="N931">
        <v>1072.5</v>
      </c>
    </row>
    <row r="932" spans="1:14" hidden="1">
      <c r="A932" t="s">
        <v>3397</v>
      </c>
      <c r="B932" s="5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hidden="1">
      <c r="A933" t="s">
        <v>3400</v>
      </c>
      <c r="B933" s="5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hidden="1">
      <c r="A934" t="s">
        <v>3403</v>
      </c>
      <c r="B934" s="5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hidden="1">
      <c r="A935" t="s">
        <v>3407</v>
      </c>
      <c r="B935" s="5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L935" t="s">
        <v>4296</v>
      </c>
      <c r="M935" t="s">
        <v>29</v>
      </c>
      <c r="N935">
        <v>788.32</v>
      </c>
    </row>
    <row r="936" spans="1:14" hidden="1">
      <c r="A936" t="s">
        <v>3410</v>
      </c>
      <c r="B936" s="5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hidden="1">
      <c r="A937" t="s">
        <v>3413</v>
      </c>
      <c r="B937" s="5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hidden="1">
      <c r="A938" t="s">
        <v>3416</v>
      </c>
      <c r="B938" s="5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hidden="1">
      <c r="A939" t="s">
        <v>3419</v>
      </c>
      <c r="B939" s="5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hidden="1">
      <c r="A940" t="s">
        <v>3422</v>
      </c>
      <c r="B940" s="5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994.38</v>
      </c>
    </row>
    <row r="941" spans="1:14" hidden="1">
      <c r="A941" t="s">
        <v>3425</v>
      </c>
      <c r="B941" s="5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hidden="1">
      <c r="A942" t="s">
        <v>3429</v>
      </c>
      <c r="B942" s="5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hidden="1">
      <c r="A943" t="s">
        <v>3433</v>
      </c>
      <c r="B943" s="5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hidden="1">
      <c r="A944" t="s">
        <v>3435</v>
      </c>
      <c r="B944" s="5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L944" t="s">
        <v>4296</v>
      </c>
      <c r="M944" t="s">
        <v>38</v>
      </c>
      <c r="N944">
        <v>479.76</v>
      </c>
    </row>
    <row r="945" spans="1:14" hidden="1">
      <c r="A945" t="s">
        <v>3438</v>
      </c>
      <c r="B945" s="5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hidden="1">
      <c r="A946" t="s">
        <v>3442</v>
      </c>
      <c r="B946" s="5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hidden="1">
      <c r="A947" t="s">
        <v>3445</v>
      </c>
      <c r="B947" s="5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hidden="1">
      <c r="A948" t="s">
        <v>3448</v>
      </c>
      <c r="B948" s="5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hidden="1">
      <c r="A949" t="s">
        <v>3451</v>
      </c>
      <c r="B949" s="5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hidden="1">
      <c r="A950" t="s">
        <v>3454</v>
      </c>
      <c r="B950" s="5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L950" t="s">
        <v>4296</v>
      </c>
      <c r="M950" t="s">
        <v>76</v>
      </c>
      <c r="N950">
        <v>1188.1400000000001</v>
      </c>
    </row>
    <row r="951" spans="1:14" hidden="1">
      <c r="A951" t="s">
        <v>3456</v>
      </c>
      <c r="B951" s="5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L951" t="s">
        <v>4296</v>
      </c>
      <c r="M951" t="s">
        <v>29</v>
      </c>
      <c r="N951">
        <v>551.9</v>
      </c>
    </row>
    <row r="952" spans="1:14" hidden="1">
      <c r="A952" t="s">
        <v>3459</v>
      </c>
      <c r="B952" s="5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hidden="1">
      <c r="A953" t="s">
        <v>3462</v>
      </c>
      <c r="B953" s="5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hidden="1">
      <c r="A954" t="s">
        <v>3465</v>
      </c>
      <c r="B954" s="5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L954" t="s">
        <v>4296</v>
      </c>
      <c r="M954" t="s">
        <v>45</v>
      </c>
      <c r="N954">
        <v>1510.17</v>
      </c>
    </row>
    <row r="955" spans="1:14" hidden="1">
      <c r="A955" t="s">
        <v>3469</v>
      </c>
      <c r="B955" s="5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hidden="1">
      <c r="A956" t="s">
        <v>3472</v>
      </c>
      <c r="B956" s="5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hidden="1">
      <c r="A957" t="s">
        <v>3475</v>
      </c>
      <c r="B957" s="5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hidden="1">
      <c r="A958" t="s">
        <v>3478</v>
      </c>
      <c r="B958" s="5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hidden="1">
      <c r="A959" t="s">
        <v>3481</v>
      </c>
      <c r="B959" s="5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hidden="1">
      <c r="A960" t="s">
        <v>3485</v>
      </c>
      <c r="B960" s="5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hidden="1">
      <c r="A961" t="s">
        <v>3488</v>
      </c>
      <c r="B961" s="5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hidden="1">
      <c r="A962" t="s">
        <v>3491</v>
      </c>
      <c r="B962" s="5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hidden="1">
      <c r="A963" t="s">
        <v>3494</v>
      </c>
      <c r="B963" s="5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L963" t="s">
        <v>4296</v>
      </c>
      <c r="M963" t="s">
        <v>45</v>
      </c>
      <c r="N963">
        <v>601.36</v>
      </c>
    </row>
    <row r="964" spans="1:14" hidden="1">
      <c r="A964" t="s">
        <v>3497</v>
      </c>
      <c r="B964" s="5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hidden="1">
      <c r="A965" t="s">
        <v>3500</v>
      </c>
      <c r="B965" s="5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hidden="1">
      <c r="A966" t="s">
        <v>3503</v>
      </c>
      <c r="B966" s="5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hidden="1">
      <c r="A967" t="s">
        <v>3506</v>
      </c>
      <c r="B967" s="5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hidden="1">
      <c r="A968" t="s">
        <v>3509</v>
      </c>
      <c r="B968" s="5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hidden="1">
      <c r="A969" t="s">
        <v>3513</v>
      </c>
      <c r="B969" s="5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hidden="1">
      <c r="A970" t="s">
        <v>3517</v>
      </c>
      <c r="B970" s="5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hidden="1">
      <c r="A971" t="s">
        <v>3520</v>
      </c>
      <c r="B971" s="5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hidden="1">
      <c r="A972" t="s">
        <v>3524</v>
      </c>
      <c r="B972" s="5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hidden="1">
      <c r="A973" t="s">
        <v>3528</v>
      </c>
      <c r="B973" s="5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hidden="1">
      <c r="A974" t="s">
        <v>3531</v>
      </c>
      <c r="B974" s="5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hidden="1">
      <c r="A975" t="s">
        <v>3535</v>
      </c>
      <c r="B975" s="5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hidden="1">
      <c r="A976" t="s">
        <v>3538</v>
      </c>
      <c r="B976" s="5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L976" t="s">
        <v>4296</v>
      </c>
      <c r="M976" t="s">
        <v>38</v>
      </c>
      <c r="N976">
        <v>1333.9</v>
      </c>
    </row>
    <row r="977" spans="1:14" hidden="1">
      <c r="A977" t="s">
        <v>3541</v>
      </c>
      <c r="B977" s="5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hidden="1">
      <c r="A978" t="s">
        <v>3544</v>
      </c>
      <c r="B978" s="5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hidden="1">
      <c r="A979" t="s">
        <v>3547</v>
      </c>
      <c r="B979" s="5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hidden="1">
      <c r="A980" t="s">
        <v>3551</v>
      </c>
      <c r="B980" s="5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L980" t="s">
        <v>4296</v>
      </c>
      <c r="M980" t="s">
        <v>76</v>
      </c>
      <c r="N980">
        <v>429.96</v>
      </c>
    </row>
    <row r="981" spans="1:14" hidden="1">
      <c r="A981" t="s">
        <v>3554</v>
      </c>
      <c r="B981" s="5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hidden="1">
      <c r="A982" t="s">
        <v>3557</v>
      </c>
      <c r="B982" s="5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hidden="1">
      <c r="A983" t="s">
        <v>3561</v>
      </c>
      <c r="B983" s="5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hidden="1">
      <c r="A984" t="s">
        <v>3565</v>
      </c>
      <c r="B984" s="5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hidden="1">
      <c r="A985" t="s">
        <v>3568</v>
      </c>
      <c r="B985" s="5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hidden="1">
      <c r="A986" t="s">
        <v>3572</v>
      </c>
      <c r="B986" s="5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hidden="1">
      <c r="A987" t="s">
        <v>3575</v>
      </c>
      <c r="B987" s="5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hidden="1">
      <c r="A988" t="s">
        <v>3578</v>
      </c>
      <c r="B988" s="5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hidden="1">
      <c r="A989" t="s">
        <v>3581</v>
      </c>
      <c r="B989" s="5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hidden="1">
      <c r="A990" t="s">
        <v>3584</v>
      </c>
      <c r="B990" s="5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hidden="1">
      <c r="A991" t="s">
        <v>3587</v>
      </c>
      <c r="B991" s="5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hidden="1">
      <c r="A992" t="s">
        <v>3591</v>
      </c>
      <c r="B992" s="5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hidden="1">
      <c r="A993" t="s">
        <v>3595</v>
      </c>
      <c r="B993" s="5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</v>
      </c>
    </row>
    <row r="994" spans="1:14" hidden="1">
      <c r="A994" t="s">
        <v>3598</v>
      </c>
      <c r="B994" s="5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hidden="1">
      <c r="A995" t="s">
        <v>3601</v>
      </c>
      <c r="B995" s="5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802.35</v>
      </c>
    </row>
    <row r="996" spans="1:14" hidden="1">
      <c r="A996" t="s">
        <v>3605</v>
      </c>
      <c r="B996" s="5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hidden="1">
      <c r="A997" t="s">
        <v>3608</v>
      </c>
      <c r="B997" s="5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hidden="1">
      <c r="A998" t="s">
        <v>3611</v>
      </c>
      <c r="B998" s="5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hidden="1">
      <c r="A999" t="s">
        <v>3614</v>
      </c>
      <c r="B999" s="5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hidden="1">
      <c r="A1000" t="s">
        <v>3617</v>
      </c>
      <c r="B1000" s="5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hidden="1">
      <c r="A1001" t="s">
        <v>3620</v>
      </c>
      <c r="B1001" s="5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hidden="1">
      <c r="A1002" t="s">
        <v>3623</v>
      </c>
      <c r="B1002" s="5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hidden="1">
      <c r="A1003" t="s">
        <v>3627</v>
      </c>
      <c r="B1003" s="5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L1003" t="s">
        <v>4296</v>
      </c>
      <c r="M1003" t="s">
        <v>29</v>
      </c>
      <c r="N1003">
        <v>507.36</v>
      </c>
    </row>
    <row r="1004" spans="1:14" hidden="1">
      <c r="A1004" t="s">
        <v>3630</v>
      </c>
      <c r="B1004" s="5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hidden="1">
      <c r="A1005" t="s">
        <v>3633</v>
      </c>
      <c r="B1005" s="5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hidden="1">
      <c r="A1006" t="s">
        <v>3636</v>
      </c>
      <c r="B1006" s="5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hidden="1">
      <c r="A1007" t="s">
        <v>3639</v>
      </c>
      <c r="B1007" s="5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L1007" t="s">
        <v>4296</v>
      </c>
      <c r="M1007" t="s">
        <v>76</v>
      </c>
      <c r="N1007">
        <v>1178.55</v>
      </c>
    </row>
    <row r="1008" spans="1:14" hidden="1">
      <c r="A1008" t="s">
        <v>3642</v>
      </c>
      <c r="B1008" s="5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hidden="1">
      <c r="A1009" t="s">
        <v>3645</v>
      </c>
      <c r="B1009" s="5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hidden="1">
      <c r="A1010" t="s">
        <v>3647</v>
      </c>
      <c r="B1010" s="5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hidden="1">
      <c r="A1011" t="s">
        <v>3650</v>
      </c>
      <c r="B1011" s="5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hidden="1">
      <c r="A1012" t="s">
        <v>3653</v>
      </c>
      <c r="B1012" s="5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hidden="1">
      <c r="A1013" t="s">
        <v>3656</v>
      </c>
      <c r="B1013" s="5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L1013" t="s">
        <v>4296</v>
      </c>
      <c r="M1013" t="s">
        <v>76</v>
      </c>
      <c r="N1013">
        <v>956.72</v>
      </c>
    </row>
    <row r="1014" spans="1:14" hidden="1">
      <c r="A1014" t="s">
        <v>3659</v>
      </c>
      <c r="B1014" s="5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L1014" t="s">
        <v>4296</v>
      </c>
      <c r="M1014" t="s">
        <v>45</v>
      </c>
      <c r="N1014">
        <v>120.2</v>
      </c>
    </row>
    <row r="1015" spans="1:14" hidden="1">
      <c r="A1015" t="s">
        <v>3662</v>
      </c>
      <c r="B1015" s="5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hidden="1">
      <c r="A1016" t="s">
        <v>3665</v>
      </c>
      <c r="B1016" s="5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hidden="1">
      <c r="A1017" t="s">
        <v>3668</v>
      </c>
      <c r="B1017" s="5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hidden="1">
      <c r="A1018" t="s">
        <v>3671</v>
      </c>
      <c r="B1018" s="5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hidden="1">
      <c r="A1019" t="s">
        <v>3675</v>
      </c>
      <c r="B1019" s="5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hidden="1">
      <c r="A1020" t="s">
        <v>3679</v>
      </c>
      <c r="B1020" s="5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L1020" t="s">
        <v>4296</v>
      </c>
      <c r="M1020" t="s">
        <v>22</v>
      </c>
      <c r="N1020">
        <v>547.44000000000005</v>
      </c>
    </row>
    <row r="1021" spans="1:14" hidden="1">
      <c r="A1021" t="s">
        <v>3683</v>
      </c>
      <c r="B1021" s="5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hidden="1">
      <c r="A1022" t="s">
        <v>3686</v>
      </c>
      <c r="B1022" s="5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hidden="1">
      <c r="A1023" t="s">
        <v>3689</v>
      </c>
      <c r="B1023" s="5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hidden="1">
      <c r="A1024" t="s">
        <v>3692</v>
      </c>
      <c r="B1024" s="5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hidden="1">
      <c r="A1025" t="s">
        <v>3695</v>
      </c>
      <c r="B1025" s="5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L1025" t="s">
        <v>4296</v>
      </c>
      <c r="M1025" t="s">
        <v>29</v>
      </c>
      <c r="N1025">
        <v>1168.3499999999999</v>
      </c>
    </row>
    <row r="1026" spans="1:14" hidden="1">
      <c r="A1026" t="s">
        <v>3698</v>
      </c>
      <c r="B1026" s="5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hidden="1">
      <c r="A1027" t="s">
        <v>3701</v>
      </c>
      <c r="B1027" s="5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hidden="1">
      <c r="A1028" t="s">
        <v>3704</v>
      </c>
      <c r="B1028" s="5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hidden="1">
      <c r="A1029" t="s">
        <v>3707</v>
      </c>
      <c r="B1029" s="5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L1029" t="s">
        <v>4296</v>
      </c>
      <c r="M1029" t="s">
        <v>76</v>
      </c>
      <c r="N1029">
        <v>2219.3200000000002</v>
      </c>
    </row>
    <row r="1030" spans="1:14" hidden="1">
      <c r="A1030" t="s">
        <v>3710</v>
      </c>
      <c r="B1030" s="5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L1030" t="s">
        <v>4296</v>
      </c>
      <c r="M1030" t="s">
        <v>22</v>
      </c>
      <c r="N1030">
        <v>1761.24</v>
      </c>
    </row>
    <row r="1031" spans="1:14" hidden="1">
      <c r="A1031" t="s">
        <v>3713</v>
      </c>
      <c r="B1031" s="5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hidden="1">
      <c r="A1032" t="s">
        <v>3716</v>
      </c>
      <c r="B1032" s="5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hidden="1">
      <c r="A1033" t="s">
        <v>3720</v>
      </c>
      <c r="B1033" s="5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hidden="1">
      <c r="A1034" t="s">
        <v>3724</v>
      </c>
      <c r="B1034" s="5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hidden="1">
      <c r="A1035" t="s">
        <v>3727</v>
      </c>
      <c r="B1035" s="5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hidden="1">
      <c r="A1036" t="s">
        <v>3731</v>
      </c>
      <c r="B1036" s="5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hidden="1">
      <c r="A1037" t="s">
        <v>3735</v>
      </c>
      <c r="B1037" s="5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L1037" t="s">
        <v>4296</v>
      </c>
      <c r="M1037" t="s">
        <v>29</v>
      </c>
      <c r="N1037">
        <v>2024.44</v>
      </c>
    </row>
    <row r="1038" spans="1:14" hidden="1">
      <c r="A1038" t="s">
        <v>3739</v>
      </c>
      <c r="B1038" s="5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hidden="1">
      <c r="A1039" t="s">
        <v>3742</v>
      </c>
      <c r="B1039" s="5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hidden="1">
      <c r="A1040" t="s">
        <v>3745</v>
      </c>
      <c r="B1040" s="5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L1040" t="s">
        <v>4296</v>
      </c>
      <c r="M1040" t="s">
        <v>45</v>
      </c>
      <c r="N1040">
        <v>1087.5899999999999</v>
      </c>
    </row>
    <row r="1041" spans="1:14" hidden="1">
      <c r="A1041" t="s">
        <v>3749</v>
      </c>
      <c r="B1041" s="5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hidden="1">
      <c r="A1042" t="s">
        <v>3753</v>
      </c>
      <c r="B1042" s="5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hidden="1">
      <c r="A1043" t="s">
        <v>3756</v>
      </c>
      <c r="B1043" s="5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hidden="1">
      <c r="A1044" t="s">
        <v>3759</v>
      </c>
      <c r="B1044" s="5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hidden="1">
      <c r="A1045" t="s">
        <v>3762</v>
      </c>
      <c r="B1045" s="5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L1045" t="s">
        <v>4296</v>
      </c>
      <c r="M1045" t="s">
        <v>22</v>
      </c>
      <c r="N1045">
        <v>359.92</v>
      </c>
    </row>
    <row r="1046" spans="1:14" hidden="1">
      <c r="A1046" t="s">
        <v>3765</v>
      </c>
      <c r="B1046" s="5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hidden="1">
      <c r="A1047" t="s">
        <v>3769</v>
      </c>
      <c r="B1047" s="5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L1047" t="s">
        <v>4296</v>
      </c>
      <c r="M1047" t="s">
        <v>38</v>
      </c>
      <c r="N1047">
        <v>1582</v>
      </c>
    </row>
    <row r="1048" spans="1:14" hidden="1">
      <c r="A1048" t="s">
        <v>3773</v>
      </c>
      <c r="B1048" s="5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hidden="1">
      <c r="A1049" t="s">
        <v>3777</v>
      </c>
      <c r="B1049" s="5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hidden="1">
      <c r="A1050" t="s">
        <v>3781</v>
      </c>
      <c r="B1050" s="5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L1050" t="s">
        <v>4296</v>
      </c>
      <c r="M1050" t="s">
        <v>76</v>
      </c>
      <c r="N1050">
        <v>294.60000000000002</v>
      </c>
    </row>
    <row r="1051" spans="1:14" hidden="1">
      <c r="A1051" t="s">
        <v>3785</v>
      </c>
      <c r="B1051" s="5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L1051" t="s">
        <v>4296</v>
      </c>
      <c r="M1051" t="s">
        <v>22</v>
      </c>
      <c r="N1051">
        <v>1959.3</v>
      </c>
    </row>
    <row r="1052" spans="1:14" hidden="1">
      <c r="A1052" t="s">
        <v>3788</v>
      </c>
      <c r="B1052" s="5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L1052" t="s">
        <v>4296</v>
      </c>
      <c r="M1052" t="s">
        <v>22</v>
      </c>
      <c r="N1052">
        <v>348.5</v>
      </c>
    </row>
    <row r="1053" spans="1:14" hidden="1">
      <c r="A1053" t="s">
        <v>3791</v>
      </c>
      <c r="B1053" s="5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hidden="1">
      <c r="A1054" t="s">
        <v>3795</v>
      </c>
      <c r="B1054" s="5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hidden="1">
      <c r="A1055" t="s">
        <v>3799</v>
      </c>
      <c r="B1055" s="5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hidden="1">
      <c r="A1056" t="s">
        <v>3802</v>
      </c>
      <c r="B1056" s="5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hidden="1">
      <c r="A1057" t="s">
        <v>3805</v>
      </c>
      <c r="B1057" s="5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hidden="1">
      <c r="A1058" t="s">
        <v>3808</v>
      </c>
      <c r="B1058" s="5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hidden="1">
      <c r="A1059" t="s">
        <v>3811</v>
      </c>
      <c r="B1059" s="5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hidden="1">
      <c r="A1060" t="s">
        <v>3814</v>
      </c>
      <c r="B1060" s="5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hidden="1">
      <c r="A1061" t="s">
        <v>3817</v>
      </c>
      <c r="B1061" s="5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hidden="1">
      <c r="A1062" t="s">
        <v>3821</v>
      </c>
      <c r="B1062" s="5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hidden="1">
      <c r="A1063" t="s">
        <v>3824</v>
      </c>
      <c r="B1063" s="5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hidden="1">
      <c r="A1064" t="s">
        <v>3827</v>
      </c>
      <c r="B1064" s="5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L1064" t="s">
        <v>4296</v>
      </c>
      <c r="M1064" t="s">
        <v>45</v>
      </c>
      <c r="N1064">
        <v>427.6</v>
      </c>
    </row>
    <row r="1065" spans="1:14" hidden="1">
      <c r="A1065" t="s">
        <v>3830</v>
      </c>
      <c r="B1065" s="5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hidden="1">
      <c r="A1066" t="s">
        <v>3833</v>
      </c>
      <c r="B1066" s="5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>
      <c r="A1067" t="s">
        <v>3836</v>
      </c>
      <c r="B1067" s="5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hidden="1">
      <c r="A1068" t="s">
        <v>3839</v>
      </c>
      <c r="B1068" s="5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hidden="1">
      <c r="A1069" t="s">
        <v>3842</v>
      </c>
      <c r="B1069" s="5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L1069" t="s">
        <v>4296</v>
      </c>
      <c r="M1069" t="s">
        <v>22</v>
      </c>
      <c r="N1069">
        <v>632.4</v>
      </c>
    </row>
    <row r="1070" spans="1:14" hidden="1">
      <c r="A1070" t="s">
        <v>3845</v>
      </c>
      <c r="B1070" s="5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hidden="1">
      <c r="A1071" t="s">
        <v>3849</v>
      </c>
      <c r="B1071" s="5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L1071" t="s">
        <v>4296</v>
      </c>
      <c r="M1071" t="s">
        <v>45</v>
      </c>
      <c r="N1071">
        <v>454.23</v>
      </c>
    </row>
    <row r="1072" spans="1:14" hidden="1">
      <c r="A1072" t="s">
        <v>3852</v>
      </c>
      <c r="B1072" s="5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L1072" t="s">
        <v>4296</v>
      </c>
      <c r="M1072" t="s">
        <v>38</v>
      </c>
      <c r="N1072">
        <v>1965.16</v>
      </c>
    </row>
    <row r="1073" spans="1:14" hidden="1">
      <c r="A1073" t="s">
        <v>3855</v>
      </c>
      <c r="B1073" s="5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L1073" t="s">
        <v>4296</v>
      </c>
      <c r="M1073" t="s">
        <v>76</v>
      </c>
      <c r="N1073">
        <v>510.28</v>
      </c>
    </row>
    <row r="1074" spans="1:14" hidden="1">
      <c r="A1074" t="s">
        <v>3858</v>
      </c>
      <c r="B1074" s="5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hidden="1">
      <c r="A1075" t="s">
        <v>3861</v>
      </c>
      <c r="B1075" s="5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L1075" t="s">
        <v>4296</v>
      </c>
      <c r="M1075" t="s">
        <v>45</v>
      </c>
      <c r="N1075">
        <v>1448.24</v>
      </c>
    </row>
    <row r="1076" spans="1:14" hidden="1">
      <c r="A1076" t="s">
        <v>3864</v>
      </c>
      <c r="B1076" s="5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L1076" t="s">
        <v>4296</v>
      </c>
      <c r="M1076" t="s">
        <v>76</v>
      </c>
      <c r="N1076">
        <v>222.73</v>
      </c>
    </row>
    <row r="1077" spans="1:14" hidden="1">
      <c r="A1077" t="s">
        <v>3868</v>
      </c>
      <c r="B1077" s="5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hidden="1">
      <c r="A1078" t="s">
        <v>3871</v>
      </c>
      <c r="B1078" s="5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L1078" t="s">
        <v>4296</v>
      </c>
      <c r="M1078" t="s">
        <v>29</v>
      </c>
      <c r="N1078">
        <v>2746.44</v>
      </c>
    </row>
    <row r="1079" spans="1:14" hidden="1">
      <c r="A1079" t="s">
        <v>3874</v>
      </c>
      <c r="B1079" s="5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hidden="1">
      <c r="A1080" t="s">
        <v>3877</v>
      </c>
      <c r="B1080" s="5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hidden="1">
      <c r="A1081" t="s">
        <v>3880</v>
      </c>
      <c r="B1081" s="5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L1081" t="s">
        <v>4296</v>
      </c>
      <c r="M1081" t="s">
        <v>38</v>
      </c>
      <c r="N1081">
        <v>3170</v>
      </c>
    </row>
    <row r="1082" spans="1:14" hidden="1">
      <c r="A1082" t="s">
        <v>3883</v>
      </c>
      <c r="B1082" s="5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L1082" t="s">
        <v>4296</v>
      </c>
      <c r="M1082" t="s">
        <v>29</v>
      </c>
      <c r="N1082">
        <v>2323.6999999999998</v>
      </c>
    </row>
    <row r="1083" spans="1:14" hidden="1">
      <c r="A1083" t="s">
        <v>3887</v>
      </c>
      <c r="B1083" s="5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hidden="1">
      <c r="A1084" t="s">
        <v>3890</v>
      </c>
      <c r="B1084" s="5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hidden="1">
      <c r="A1085" t="s">
        <v>3893</v>
      </c>
      <c r="B1085" s="5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hidden="1">
      <c r="A1086" t="s">
        <v>3896</v>
      </c>
      <c r="B1086" s="5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hidden="1">
      <c r="A1087" t="s">
        <v>3899</v>
      </c>
      <c r="B1087" s="5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hidden="1">
      <c r="A1088" t="s">
        <v>3902</v>
      </c>
      <c r="B1088" s="5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hidden="1">
      <c r="A1089" t="s">
        <v>3906</v>
      </c>
      <c r="B1089" s="5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hidden="1">
      <c r="A1090" t="s">
        <v>3910</v>
      </c>
      <c r="B1090" s="5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hidden="1">
      <c r="A1091" t="s">
        <v>3914</v>
      </c>
      <c r="B1091" s="5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L1091" t="s">
        <v>4296</v>
      </c>
      <c r="M1091" t="s">
        <v>22</v>
      </c>
      <c r="N1091">
        <v>1199.48</v>
      </c>
    </row>
    <row r="1092" spans="1:14" hidden="1">
      <c r="A1092" t="s">
        <v>3917</v>
      </c>
      <c r="B1092" s="5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L1092" t="s">
        <v>4296</v>
      </c>
      <c r="M1092" t="s">
        <v>22</v>
      </c>
      <c r="N1092">
        <v>1300.5</v>
      </c>
    </row>
    <row r="1093" spans="1:14" hidden="1">
      <c r="A1093" t="s">
        <v>3920</v>
      </c>
      <c r="B1093" s="5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L1093" t="s">
        <v>4296</v>
      </c>
      <c r="M1093" t="s">
        <v>38</v>
      </c>
      <c r="N1093">
        <v>628.44000000000005</v>
      </c>
    </row>
    <row r="1094" spans="1:14" hidden="1">
      <c r="A1094" t="s">
        <v>3923</v>
      </c>
      <c r="B1094" s="5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hidden="1">
      <c r="A1095" t="s">
        <v>3926</v>
      </c>
      <c r="B1095" s="5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hidden="1">
      <c r="A1096" t="s">
        <v>3930</v>
      </c>
      <c r="B1096" s="5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hidden="1">
      <c r="A1097" t="s">
        <v>3934</v>
      </c>
      <c r="B1097" s="5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hidden="1">
      <c r="A1098" t="s">
        <v>3938</v>
      </c>
      <c r="B1098" s="5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L1098" t="s">
        <v>4296</v>
      </c>
      <c r="M1098" t="s">
        <v>45</v>
      </c>
      <c r="N1098">
        <v>929.84</v>
      </c>
    </row>
    <row r="1099" spans="1:14" hidden="1">
      <c r="A1099" t="s">
        <v>3942</v>
      </c>
      <c r="B1099" s="5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hidden="1">
      <c r="A1100" t="s">
        <v>3946</v>
      </c>
      <c r="B1100" s="5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L1100" t="s">
        <v>4296</v>
      </c>
      <c r="M1100" t="s">
        <v>38</v>
      </c>
      <c r="N1100">
        <v>1023.44</v>
      </c>
    </row>
    <row r="1101" spans="1:14" hidden="1">
      <c r="A1101" t="s">
        <v>3950</v>
      </c>
      <c r="B1101" s="5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hidden="1">
      <c r="A1102" t="s">
        <v>3953</v>
      </c>
      <c r="B1102" s="5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hidden="1">
      <c r="A1103" t="s">
        <v>3957</v>
      </c>
      <c r="B1103" s="5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hidden="1">
      <c r="A1104" t="s">
        <v>3960</v>
      </c>
      <c r="B1104" s="5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L1104" t="s">
        <v>4296</v>
      </c>
      <c r="M1104" t="s">
        <v>22</v>
      </c>
      <c r="N1104">
        <v>1388.68</v>
      </c>
    </row>
    <row r="1105" spans="1:14" hidden="1">
      <c r="A1105" t="s">
        <v>3962</v>
      </c>
      <c r="B1105" s="5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L1105" t="s">
        <v>4296</v>
      </c>
      <c r="M1105" t="s">
        <v>76</v>
      </c>
      <c r="N1105">
        <v>1105.28</v>
      </c>
    </row>
    <row r="1106" spans="1:14" hidden="1">
      <c r="A1106" t="s">
        <v>3965</v>
      </c>
      <c r="B1106" s="5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L1106" t="s">
        <v>4296</v>
      </c>
      <c r="M1106" t="s">
        <v>22</v>
      </c>
      <c r="N1106">
        <v>1259.04</v>
      </c>
    </row>
    <row r="1107" spans="1:14" hidden="1">
      <c r="A1107" t="s">
        <v>3969</v>
      </c>
      <c r="B1107" s="5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hidden="1">
      <c r="A1108" t="s">
        <v>3972</v>
      </c>
      <c r="B1108" s="5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hidden="1">
      <c r="A1109" t="s">
        <v>3975</v>
      </c>
      <c r="B1109" s="5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hidden="1">
      <c r="A1110" t="s">
        <v>3978</v>
      </c>
      <c r="B1110" s="5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hidden="1">
      <c r="A1111" t="s">
        <v>3982</v>
      </c>
      <c r="B1111" s="5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hidden="1">
      <c r="A1112" t="s">
        <v>3985</v>
      </c>
      <c r="B1112" s="5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hidden="1">
      <c r="A1113" t="s">
        <v>3988</v>
      </c>
      <c r="B1113" s="5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hidden="1">
      <c r="A1114" t="s">
        <v>3992</v>
      </c>
      <c r="B1114" s="5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hidden="1">
      <c r="A1115" t="s">
        <v>3995</v>
      </c>
      <c r="B1115" s="5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L1115" t="s">
        <v>4296</v>
      </c>
      <c r="M1115" t="s">
        <v>76</v>
      </c>
      <c r="N1115">
        <v>839.96</v>
      </c>
    </row>
    <row r="1116" spans="1:14" hidden="1">
      <c r="A1116" t="s">
        <v>3998</v>
      </c>
      <c r="B1116" s="5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L1116" t="s">
        <v>4296</v>
      </c>
      <c r="M1116" t="s">
        <v>76</v>
      </c>
      <c r="N1116">
        <v>1979.64</v>
      </c>
    </row>
    <row r="1117" spans="1:14" hidden="1">
      <c r="A1117" t="s">
        <v>4001</v>
      </c>
      <c r="B1117" s="5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L1117" t="s">
        <v>4296</v>
      </c>
      <c r="M1117" t="s">
        <v>76</v>
      </c>
      <c r="N1117">
        <v>672.64</v>
      </c>
    </row>
    <row r="1118" spans="1:14" hidden="1">
      <c r="A1118" t="s">
        <v>4004</v>
      </c>
      <c r="B1118" s="5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hidden="1">
      <c r="A1119" t="s">
        <v>4007</v>
      </c>
      <c r="B1119" s="5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hidden="1">
      <c r="A1120" t="s">
        <v>4010</v>
      </c>
      <c r="B1120" s="5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L1120" t="s">
        <v>4296</v>
      </c>
      <c r="M1120" t="s">
        <v>38</v>
      </c>
      <c r="N1120">
        <v>754.44</v>
      </c>
    </row>
    <row r="1121" spans="1:14" hidden="1">
      <c r="A1121" t="s">
        <v>4013</v>
      </c>
      <c r="B1121" s="5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hidden="1">
      <c r="A1122" t="s">
        <v>4016</v>
      </c>
      <c r="B1122" s="5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L1122" t="s">
        <v>4296</v>
      </c>
      <c r="M1122" t="s">
        <v>45</v>
      </c>
      <c r="N1122">
        <v>195.86</v>
      </c>
    </row>
    <row r="1123" spans="1:14" hidden="1">
      <c r="A1123" t="s">
        <v>4019</v>
      </c>
      <c r="B1123" s="5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>
      <c r="A1124" t="s">
        <v>4022</v>
      </c>
      <c r="B1124" s="5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L1124" t="s">
        <v>4296</v>
      </c>
      <c r="M1124" t="s">
        <v>45</v>
      </c>
      <c r="N1124">
        <v>3390.95</v>
      </c>
    </row>
    <row r="1125" spans="1:14" hidden="1">
      <c r="A1125" t="s">
        <v>4024</v>
      </c>
      <c r="B1125" s="5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hidden="1">
      <c r="A1126" t="s">
        <v>4028</v>
      </c>
      <c r="B1126" s="5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L1126" t="s">
        <v>4296</v>
      </c>
      <c r="M1126" t="s">
        <v>22</v>
      </c>
      <c r="N1126">
        <v>2307.48</v>
      </c>
    </row>
    <row r="1127" spans="1:14" hidden="1">
      <c r="A1127" t="s">
        <v>4032</v>
      </c>
      <c r="B1127" s="5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hidden="1">
      <c r="A1128" t="s">
        <v>4035</v>
      </c>
      <c r="B1128" s="5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</v>
      </c>
    </row>
    <row r="1129" spans="1:14" hidden="1">
      <c r="A1129" t="s">
        <v>4039</v>
      </c>
      <c r="B1129" s="5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hidden="1">
      <c r="A1130" t="s">
        <v>4042</v>
      </c>
      <c r="B1130" s="5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hidden="1">
      <c r="A1131" t="s">
        <v>4045</v>
      </c>
      <c r="B1131" s="5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hidden="1">
      <c r="A1132" t="s">
        <v>4048</v>
      </c>
      <c r="B1132" s="5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hidden="1">
      <c r="A1133" t="s">
        <v>4051</v>
      </c>
      <c r="B1133" s="5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hidden="1">
      <c r="A1134" t="s">
        <v>4054</v>
      </c>
      <c r="B1134" s="5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hidden="1">
      <c r="A1135" t="s">
        <v>4057</v>
      </c>
      <c r="B1135" s="5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hidden="1">
      <c r="A1136" t="s">
        <v>4060</v>
      </c>
      <c r="B1136" s="5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hidden="1">
      <c r="A1137" t="s">
        <v>4064</v>
      </c>
      <c r="B1137" s="5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hidden="1">
      <c r="A1138" t="s">
        <v>4067</v>
      </c>
      <c r="B1138" s="5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hidden="1">
      <c r="A1139" t="s">
        <v>4070</v>
      </c>
      <c r="B1139" s="5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hidden="1">
      <c r="A1140" t="s">
        <v>4074</v>
      </c>
      <c r="B1140" s="5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L1140" t="s">
        <v>4296</v>
      </c>
      <c r="M1140" t="s">
        <v>22</v>
      </c>
      <c r="N1140">
        <v>1177.6400000000001</v>
      </c>
    </row>
    <row r="1141" spans="1:14" hidden="1">
      <c r="A1141" t="s">
        <v>4077</v>
      </c>
      <c r="B1141" s="5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hidden="1">
      <c r="A1142" t="s">
        <v>4079</v>
      </c>
      <c r="B1142" s="5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L1142" t="s">
        <v>4296</v>
      </c>
      <c r="M1142" t="s">
        <v>29</v>
      </c>
      <c r="N1142">
        <v>1105.6600000000001</v>
      </c>
    </row>
    <row r="1143" spans="1:14" hidden="1">
      <c r="A1143" t="s">
        <v>4082</v>
      </c>
      <c r="B1143" s="5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L1143" t="s">
        <v>4296</v>
      </c>
      <c r="M1143" t="s">
        <v>38</v>
      </c>
      <c r="N1143">
        <v>1495.98</v>
      </c>
    </row>
    <row r="1144" spans="1:14" hidden="1">
      <c r="A1144" t="s">
        <v>4085</v>
      </c>
      <c r="B1144" s="5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L1144" t="s">
        <v>4296</v>
      </c>
      <c r="M1144" t="s">
        <v>38</v>
      </c>
      <c r="N1144">
        <v>2780.4</v>
      </c>
    </row>
    <row r="1145" spans="1:14" hidden="1">
      <c r="A1145" t="s">
        <v>4089</v>
      </c>
      <c r="B1145" s="5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L1145" t="s">
        <v>4296</v>
      </c>
      <c r="M1145" t="s">
        <v>38</v>
      </c>
      <c r="N1145">
        <v>381.61</v>
      </c>
    </row>
    <row r="1146" spans="1:14" hidden="1">
      <c r="A1146" t="s">
        <v>4093</v>
      </c>
      <c r="B1146" s="5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L1146" t="s">
        <v>4296</v>
      </c>
      <c r="M1146" t="s">
        <v>45</v>
      </c>
      <c r="N1146">
        <v>2539.6999999999998</v>
      </c>
    </row>
    <row r="1147" spans="1:14" hidden="1">
      <c r="A1147" t="s">
        <v>4097</v>
      </c>
      <c r="B1147" s="5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hidden="1">
      <c r="A1148" t="s">
        <v>4100</v>
      </c>
      <c r="B1148" s="5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hidden="1">
      <c r="A1149" t="s">
        <v>4103</v>
      </c>
      <c r="B1149" s="5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hidden="1">
      <c r="A1150" t="s">
        <v>4107</v>
      </c>
      <c r="B1150" s="5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hidden="1">
      <c r="A1151" t="s">
        <v>4111</v>
      </c>
      <c r="B1151" s="5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hidden="1">
      <c r="A1152" t="s">
        <v>4115</v>
      </c>
      <c r="B1152" s="5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hidden="1">
      <c r="A1153" t="s">
        <v>4118</v>
      </c>
      <c r="B1153" s="5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L1153" t="s">
        <v>4296</v>
      </c>
      <c r="M1153" t="s">
        <v>76</v>
      </c>
      <c r="N1153">
        <v>1216.08</v>
      </c>
    </row>
    <row r="1154" spans="1:14" hidden="1">
      <c r="A1154" t="s">
        <v>4122</v>
      </c>
      <c r="B1154" s="5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L1154" t="s">
        <v>4296</v>
      </c>
      <c r="M1154" t="s">
        <v>29</v>
      </c>
      <c r="N1154">
        <v>688.36</v>
      </c>
    </row>
    <row r="1155" spans="1:14" hidden="1">
      <c r="A1155" t="s">
        <v>4125</v>
      </c>
      <c r="B1155" s="5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L1155" t="s">
        <v>4296</v>
      </c>
      <c r="M1155" t="s">
        <v>22</v>
      </c>
      <c r="N1155">
        <v>2786.84</v>
      </c>
    </row>
    <row r="1156" spans="1:14" hidden="1">
      <c r="A1156" t="s">
        <v>4129</v>
      </c>
      <c r="B1156" s="5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hidden="1">
      <c r="A1157" t="s">
        <v>4132</v>
      </c>
      <c r="B1157" s="5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hidden="1">
      <c r="A1158" t="s">
        <v>4135</v>
      </c>
      <c r="B1158" s="5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L1158" t="s">
        <v>4296</v>
      </c>
      <c r="M1158" t="s">
        <v>29</v>
      </c>
      <c r="N1158">
        <v>2763.12</v>
      </c>
    </row>
    <row r="1159" spans="1:14" hidden="1">
      <c r="A1159" t="s">
        <v>4138</v>
      </c>
      <c r="B1159" s="5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</v>
      </c>
    </row>
    <row r="1160" spans="1:14" hidden="1">
      <c r="A1160" t="s">
        <v>4141</v>
      </c>
      <c r="B1160" s="5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hidden="1">
      <c r="A1161" t="s">
        <v>4144</v>
      </c>
      <c r="B1161" s="5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L1161" t="s">
        <v>4296</v>
      </c>
      <c r="M1161" t="s">
        <v>22</v>
      </c>
      <c r="N1161">
        <v>1866.8</v>
      </c>
    </row>
    <row r="1162" spans="1:14" hidden="1">
      <c r="A1162" t="s">
        <v>4147</v>
      </c>
      <c r="B1162" s="5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hidden="1">
      <c r="A1163" t="s">
        <v>4150</v>
      </c>
      <c r="B1163" s="5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hidden="1">
      <c r="A1164" t="s">
        <v>4153</v>
      </c>
      <c r="B1164" s="5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hidden="1">
      <c r="A1165" t="s">
        <v>4157</v>
      </c>
      <c r="B1165" s="5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</v>
      </c>
    </row>
    <row r="1166" spans="1:14" hidden="1">
      <c r="A1166" t="s">
        <v>4161</v>
      </c>
      <c r="B1166" s="5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hidden="1">
      <c r="A1167" t="s">
        <v>4164</v>
      </c>
      <c r="B1167" s="5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L1167" t="s">
        <v>4296</v>
      </c>
      <c r="M1167" t="s">
        <v>76</v>
      </c>
      <c r="N1167">
        <v>671.37</v>
      </c>
    </row>
    <row r="1168" spans="1:14" hidden="1">
      <c r="A1168" t="s">
        <v>4168</v>
      </c>
      <c r="B1168" s="5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</v>
      </c>
    </row>
    <row r="1169" spans="1:14" hidden="1">
      <c r="A1169" t="s">
        <v>4171</v>
      </c>
      <c r="B1169" s="5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hidden="1">
      <c r="A1170" t="s">
        <v>4174</v>
      </c>
      <c r="B1170" s="5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hidden="1">
      <c r="A1171" t="s">
        <v>4178</v>
      </c>
      <c r="B1171" s="5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hidden="1">
      <c r="A1172" t="s">
        <v>4182</v>
      </c>
      <c r="B1172" s="5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hidden="1">
      <c r="A1173" t="s">
        <v>4185</v>
      </c>
      <c r="B1173" s="5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hidden="1">
      <c r="A1174" t="s">
        <v>4189</v>
      </c>
      <c r="B1174" s="5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L1174" t="s">
        <v>4296</v>
      </c>
      <c r="M1174" t="s">
        <v>22</v>
      </c>
      <c r="N1174">
        <v>395.88</v>
      </c>
    </row>
    <row r="1175" spans="1:14" hidden="1">
      <c r="A1175" t="s">
        <v>4192</v>
      </c>
      <c r="B1175" s="5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hidden="1">
      <c r="A1176" t="s">
        <v>4195</v>
      </c>
      <c r="B1176" s="5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hidden="1">
      <c r="A1177" t="s">
        <v>4199</v>
      </c>
      <c r="B1177" s="5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hidden="1">
      <c r="A1178" t="s">
        <v>4202</v>
      </c>
      <c r="B1178" s="5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hidden="1">
      <c r="A1179" t="s">
        <v>4206</v>
      </c>
      <c r="B1179" s="5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hidden="1">
      <c r="A1180" t="s">
        <v>4209</v>
      </c>
      <c r="B1180" s="5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hidden="1">
      <c r="A1181" t="s">
        <v>4212</v>
      </c>
      <c r="B1181" s="5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hidden="1">
      <c r="A1182" t="s">
        <v>4215</v>
      </c>
      <c r="B1182" s="5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hidden="1">
      <c r="A1183" t="s">
        <v>4218</v>
      </c>
      <c r="B1183" s="5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hidden="1">
      <c r="A1184" t="s">
        <v>4221</v>
      </c>
      <c r="B1184" s="5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hidden="1">
      <c r="A1185" t="s">
        <v>4224</v>
      </c>
      <c r="B1185" s="5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hidden="1">
      <c r="A1186" t="s">
        <v>4227</v>
      </c>
      <c r="B1186" s="5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L1186" t="s">
        <v>4296</v>
      </c>
      <c r="M1186" t="s">
        <v>76</v>
      </c>
      <c r="N1186">
        <v>204.08</v>
      </c>
    </row>
    <row r="1187" spans="1:14" hidden="1">
      <c r="A1187" t="s">
        <v>4230</v>
      </c>
      <c r="B1187" s="5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hidden="1">
      <c r="A1188" t="s">
        <v>4234</v>
      </c>
      <c r="B1188" s="5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hidden="1">
      <c r="A1189" t="s">
        <v>4238</v>
      </c>
      <c r="B1189" s="5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hidden="1">
      <c r="A1190" t="s">
        <v>4241</v>
      </c>
      <c r="B1190" s="5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hidden="1">
      <c r="A1191" t="s">
        <v>4245</v>
      </c>
      <c r="B1191" s="5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L1191" t="s">
        <v>4296</v>
      </c>
      <c r="M1191" t="s">
        <v>29</v>
      </c>
      <c r="N1191">
        <v>1946.1</v>
      </c>
    </row>
    <row r="1192" spans="1:14" hidden="1">
      <c r="A1192" t="s">
        <v>4249</v>
      </c>
      <c r="B1192" s="5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hidden="1">
      <c r="A1193" t="s">
        <v>4253</v>
      </c>
      <c r="B1193" s="5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hidden="1">
      <c r="A1194" t="s">
        <v>4256</v>
      </c>
      <c r="B1194" s="5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L1194" t="s">
        <v>4296</v>
      </c>
      <c r="M1194" t="s">
        <v>22</v>
      </c>
      <c r="N1194">
        <v>1298.55</v>
      </c>
    </row>
    <row r="1195" spans="1:14" hidden="1">
      <c r="A1195" t="s">
        <v>4259</v>
      </c>
      <c r="B1195" s="5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hidden="1">
      <c r="A1196" t="s">
        <v>4262</v>
      </c>
      <c r="B1196" s="5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568.32000000000005</v>
      </c>
    </row>
    <row r="1197" spans="1:14" hidden="1">
      <c r="A1197" t="s">
        <v>4265</v>
      </c>
      <c r="B1197" s="5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hidden="1">
      <c r="A1198" t="s">
        <v>4269</v>
      </c>
      <c r="B1198" s="5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L1198" t="s">
        <v>4296</v>
      </c>
      <c r="M1198" t="s">
        <v>45</v>
      </c>
      <c r="N1198">
        <v>1325.06</v>
      </c>
    </row>
    <row r="1199" spans="1:14" hidden="1">
      <c r="A1199" t="s">
        <v>4272</v>
      </c>
      <c r="B1199" s="5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hidden="1">
      <c r="A1200" t="s">
        <v>4275</v>
      </c>
      <c r="B1200" s="5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hidden="1">
      <c r="A1201" t="s">
        <v>4279</v>
      </c>
      <c r="B1201" s="5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conditionalFormatting sqref="A1:A1048576">
    <cfRule type="duplicateValues" dxfId="2" priority="2"/>
  </conditionalFormatting>
  <conditionalFormatting sqref="A2:A1201">
    <cfRule type="duplicateValues" dxfId="1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7EEB-8D01-495E-8902-C019D059669B}">
  <sheetPr>
    <pageSetUpPr fitToPage="1"/>
  </sheetPr>
  <dimension ref="A1:D6"/>
  <sheetViews>
    <sheetView workbookViewId="0">
      <selection activeCell="B3" sqref="B3"/>
    </sheetView>
  </sheetViews>
  <sheetFormatPr defaultRowHeight="15.75"/>
  <cols>
    <col min="1" max="1" width="8.375" bestFit="1" customWidth="1"/>
    <col min="2" max="2" width="88" bestFit="1" customWidth="1"/>
    <col min="3" max="3" width="49.25" bestFit="1" customWidth="1"/>
    <col min="4" max="4" width="8.25" bestFit="1" customWidth="1"/>
  </cols>
  <sheetData>
    <row r="1" spans="1:4">
      <c r="A1" s="7" t="s">
        <v>4297</v>
      </c>
      <c r="B1" t="s">
        <v>4298</v>
      </c>
      <c r="C1" t="s">
        <v>4299</v>
      </c>
      <c r="D1" t="s">
        <v>4290</v>
      </c>
    </row>
    <row r="2" spans="1:4">
      <c r="A2" t="s">
        <v>4300</v>
      </c>
      <c r="B2" t="s">
        <v>4301</v>
      </c>
      <c r="C2" t="s">
        <v>4302</v>
      </c>
      <c r="D2" t="s">
        <v>4303</v>
      </c>
    </row>
    <row r="3" spans="1:4">
      <c r="A3" t="s">
        <v>4304</v>
      </c>
      <c r="B3" s="8" t="s">
        <v>4305</v>
      </c>
      <c r="C3" t="s">
        <v>4306</v>
      </c>
      <c r="D3" t="s">
        <v>4303</v>
      </c>
    </row>
    <row r="4" spans="1:4">
      <c r="A4" t="s">
        <v>4307</v>
      </c>
      <c r="B4" t="s">
        <v>4308</v>
      </c>
      <c r="C4" t="s">
        <v>4309</v>
      </c>
      <c r="D4" t="s">
        <v>4310</v>
      </c>
    </row>
    <row r="5" spans="1:4">
      <c r="A5" t="s">
        <v>4311</v>
      </c>
      <c r="B5" t="s">
        <v>4312</v>
      </c>
      <c r="C5" t="s">
        <v>4313</v>
      </c>
      <c r="D5" t="s">
        <v>4310</v>
      </c>
    </row>
    <row r="6" spans="1:4">
      <c r="A6" t="s">
        <v>4314</v>
      </c>
      <c r="B6" t="s">
        <v>4315</v>
      </c>
      <c r="C6" t="s">
        <v>4316</v>
      </c>
      <c r="D6" t="s">
        <v>4310</v>
      </c>
    </row>
  </sheetData>
  <pageMargins left="0.7" right="0.7" top="0.75" bottom="0.75" header="0.3" footer="0.3"/>
  <pageSetup paperSize="9" scale="7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0E854-F09A-4E33-B3A0-13EF37F4AFC0}">
  <dimension ref="A1:H16"/>
  <sheetViews>
    <sheetView tabSelected="1" workbookViewId="0">
      <selection activeCell="D14" sqref="D14"/>
    </sheetView>
  </sheetViews>
  <sheetFormatPr defaultRowHeight="15.75"/>
  <cols>
    <col min="1" max="1" width="20.25" bestFit="1" customWidth="1"/>
    <col min="2" max="2" width="30.875" customWidth="1"/>
    <col min="3" max="3" width="11.875" bestFit="1" customWidth="1"/>
  </cols>
  <sheetData>
    <row r="1" spans="1:8" s="6" customFormat="1">
      <c r="A1" s="6" t="s">
        <v>4317</v>
      </c>
      <c r="B1" s="6" t="s">
        <v>4</v>
      </c>
      <c r="C1" s="6" t="s">
        <v>5</v>
      </c>
      <c r="D1" s="6" t="s">
        <v>13</v>
      </c>
      <c r="E1" s="6" t="s">
        <v>10</v>
      </c>
    </row>
    <row r="2" spans="1:8">
      <c r="A2" t="s">
        <v>4291</v>
      </c>
      <c r="B2">
        <f>COUNT('Dataset for Data Analytics'!E:E)</f>
        <v>1200</v>
      </c>
      <c r="C2">
        <f>COUNT('Dataset for Data Analytics'!F:F)</f>
        <v>1200</v>
      </c>
      <c r="D2">
        <f>COUNT('Dataset for Data Analytics'!N:N)</f>
        <v>1200</v>
      </c>
      <c r="E2">
        <f>COUNT('Dataset for Data Analytics'!K:K)</f>
        <v>1200</v>
      </c>
    </row>
    <row r="3" spans="1:8">
      <c r="A3" t="s">
        <v>4318</v>
      </c>
      <c r="B3">
        <f>AVERAGE('Dataset for Data Analytics'!E:E)</f>
        <v>2.9458333333333333</v>
      </c>
      <c r="C3">
        <f>AVERAGE('Dataset for Data Analytics'!F:F)</f>
        <v>356.41275000000007</v>
      </c>
      <c r="D3">
        <f>AVERAGE('Dataset for Data Analytics'!N:N)</f>
        <v>1053.9683000000005</v>
      </c>
      <c r="E3">
        <f>AVERAGE('Dataset for Data Analytics'!K:K)</f>
        <v>5.4850000000000003</v>
      </c>
      <c r="H3">
        <f>COUNTIF('Dataset for Data Analytics'!N:N,"&gt;3330.41")</f>
        <v>8</v>
      </c>
    </row>
    <row r="4" spans="1:8">
      <c r="A4" t="s">
        <v>4319</v>
      </c>
      <c r="B4">
        <f>MEDIAN('Dataset for Data Analytics'!E:E)</f>
        <v>3</v>
      </c>
      <c r="C4">
        <f>MEDIAN('Dataset for Data Analytics'!F:F)</f>
        <v>364.21</v>
      </c>
      <c r="D4">
        <f>MEDIAN('Dataset for Data Analytics'!N:N)</f>
        <v>823.61500000000001</v>
      </c>
      <c r="E4">
        <f>MEDIAN('Dataset for Data Analytics'!K:K)</f>
        <v>5</v>
      </c>
    </row>
    <row r="5" spans="1:8">
      <c r="A5" t="s">
        <v>4320</v>
      </c>
      <c r="B5">
        <f>MIN('Dataset for Data Analytics'!E:E)</f>
        <v>1</v>
      </c>
      <c r="C5">
        <f>MIN('Dataset for Data Analytics'!F:F)</f>
        <v>11.39</v>
      </c>
      <c r="D5">
        <f>MIN('Dataset for Data Analytics'!N:N)</f>
        <v>11.39</v>
      </c>
      <c r="E5">
        <f>MIN('Dataset for Data Analytics'!K:K)</f>
        <v>1</v>
      </c>
    </row>
    <row r="6" spans="1:8">
      <c r="A6" t="s">
        <v>4321</v>
      </c>
      <c r="B6">
        <f>QUARTILE('Dataset for Data Analytics'!E:E,1)</f>
        <v>2</v>
      </c>
      <c r="C6">
        <f>QUARTILE('Dataset for Data Analytics'!F:F,1)</f>
        <v>186.0625</v>
      </c>
      <c r="D6">
        <f>QUARTILE('Dataset for Data Analytics'!N:N,1)</f>
        <v>410.52</v>
      </c>
      <c r="E6">
        <f>QUARTILE('Dataset for Data Analytics'!K:K,1)</f>
        <v>4</v>
      </c>
    </row>
    <row r="7" spans="1:8">
      <c r="A7" t="s">
        <v>4322</v>
      </c>
      <c r="B7">
        <f>QUARTILE('Dataset for Data Analytics'!E:E,3)</f>
        <v>4</v>
      </c>
      <c r="C7">
        <f>QUARTILE('Dataset for Data Analytics'!F:F,3)</f>
        <v>521.56999999999994</v>
      </c>
      <c r="D7">
        <f>QUARTILE('Dataset for Data Analytics'!N:N,3)</f>
        <v>1578.4749999999999</v>
      </c>
      <c r="E7">
        <f>QUARTILE('Dataset for Data Analytics'!K:K,3)</f>
        <v>7</v>
      </c>
    </row>
    <row r="8" spans="1:8">
      <c r="A8" t="s">
        <v>4323</v>
      </c>
      <c r="B8">
        <f>MAX('Dataset for Data Analytics'!E:E)</f>
        <v>5</v>
      </c>
      <c r="C8">
        <f>MAX('Dataset for Data Analytics'!F:F)</f>
        <v>699.93</v>
      </c>
      <c r="D8">
        <f>MAX('Dataset for Data Analytics'!N:N)</f>
        <v>3456.4</v>
      </c>
      <c r="E8">
        <f>MAX('Dataset for Data Analytics'!K:K)</f>
        <v>10</v>
      </c>
    </row>
    <row r="9" spans="1:8">
      <c r="A9" t="s">
        <v>4324</v>
      </c>
      <c r="B9">
        <f>STDEV('Dataset for Data Analytics'!E:E)</f>
        <v>1.4075570987983175</v>
      </c>
      <c r="C9">
        <f>STDEV('Dataset for Data Analytics'!F:F)</f>
        <v>197.17714641491236</v>
      </c>
      <c r="D9">
        <f>STDEV('Dataset for Data Analytics'!N:N)</f>
        <v>819.85655836464559</v>
      </c>
      <c r="E9">
        <f>STDEV('Dataset for Data Analytics'!K:K)</f>
        <v>2.2819833201028645</v>
      </c>
    </row>
    <row r="12" spans="1:8">
      <c r="A12" s="9" t="s">
        <v>4325</v>
      </c>
      <c r="B12" s="9"/>
    </row>
    <row r="13" spans="1:8">
      <c r="A13" s="1" t="s">
        <v>4326</v>
      </c>
      <c r="B13" s="1">
        <f>CORREL('Dataset for Data Analytics'!E:E,'Dataset for Data Analytics'!F:F)</f>
        <v>1.4553341185454998E-2</v>
      </c>
    </row>
    <row r="14" spans="1:8">
      <c r="A14" s="1" t="s">
        <v>4327</v>
      </c>
      <c r="B14" s="1">
        <f>CORREL('Dataset for Data Analytics'!E:E,'Dataset for Data Analytics'!N:N)</f>
        <v>0.61525136334670683</v>
      </c>
    </row>
    <row r="15" spans="1:8">
      <c r="A15" s="1" t="s">
        <v>4328</v>
      </c>
      <c r="B15" s="1">
        <f>CORREL('Dataset for Data Analytics'!F:F,'Dataset for Data Analytics'!N:N)</f>
        <v>0.717081089263781</v>
      </c>
    </row>
    <row r="16" spans="1:8">
      <c r="A16" s="1" t="s">
        <v>4329</v>
      </c>
      <c r="B16" s="1">
        <f>CORREL('Dataset for Data Analytics'!K:K,'Dataset for Data Analytics'!E:E)</f>
        <v>0.65006122572385383</v>
      </c>
    </row>
  </sheetData>
  <mergeCells count="1">
    <mergeCell ref="A12:B1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9D890-00C5-4812-B1A7-BEEFAF0FE975}">
  <dimension ref="A1:H9"/>
  <sheetViews>
    <sheetView workbookViewId="0">
      <selection activeCell="H1" sqref="H1"/>
    </sheetView>
  </sheetViews>
  <sheetFormatPr defaultRowHeight="15.75"/>
  <cols>
    <col min="1" max="1" width="19.875" bestFit="1" customWidth="1"/>
    <col min="2" max="2" width="12.625" bestFit="1" customWidth="1"/>
    <col min="4" max="4" width="8.875" bestFit="1" customWidth="1"/>
  </cols>
  <sheetData>
    <row r="1" spans="1:8">
      <c r="A1" s="1" t="s">
        <v>4283</v>
      </c>
      <c r="B1" s="1" t="s">
        <v>4284</v>
      </c>
      <c r="C1" s="3"/>
      <c r="D1" s="1" t="s">
        <v>4290</v>
      </c>
      <c r="E1" s="1" t="s">
        <v>4291</v>
      </c>
      <c r="G1" s="1" t="s">
        <v>4292</v>
      </c>
      <c r="H1" s="1" t="s">
        <v>4291</v>
      </c>
    </row>
    <row r="2" spans="1:8">
      <c r="A2" s="1" t="s">
        <v>4285</v>
      </c>
      <c r="B2" s="1">
        <f>COUNTA('Dataset for Data Analytics'!A2:A1201)</f>
        <v>1200</v>
      </c>
      <c r="C2" s="3"/>
      <c r="D2" s="1" t="s">
        <v>50</v>
      </c>
      <c r="E2" s="1">
        <f>COUNTIF('Dataset for Data Analytics'!I2:I1201,"Delivered")</f>
        <v>231</v>
      </c>
      <c r="G2" s="1" t="s">
        <v>22</v>
      </c>
      <c r="H2" s="1">
        <f>COUNTIF('Dataset for Data Analytics'!M2:M1201,"Instagram")</f>
        <v>259</v>
      </c>
    </row>
    <row r="3" spans="1:8">
      <c r="A3" s="1" t="s">
        <v>4286</v>
      </c>
      <c r="B3" s="2">
        <f>SUM('Dataset for Data Analytics'!N2:N1201)</f>
        <v>1264761.9600000004</v>
      </c>
      <c r="C3" s="4"/>
      <c r="D3" s="1" t="s">
        <v>19</v>
      </c>
      <c r="E3" s="1">
        <f>COUNTIF('Dataset for Data Analytics'!I2:I1201,"Shipped")</f>
        <v>235</v>
      </c>
      <c r="G3" s="1" t="s">
        <v>45</v>
      </c>
      <c r="H3" s="1">
        <f>COUNTIF('Dataset for Data Analytics'!M:M,"Facebook")</f>
        <v>228</v>
      </c>
    </row>
    <row r="4" spans="1:8">
      <c r="A4" s="1" t="s">
        <v>4287</v>
      </c>
      <c r="B4" s="1">
        <f>AVERAGE('Dataset for Data Analytics'!N2:N1201)</f>
        <v>1053.9683000000005</v>
      </c>
      <c r="C4" s="3"/>
      <c r="D4" s="1" t="s">
        <v>89</v>
      </c>
      <c r="E4" s="1">
        <f>COUNTIF('Dataset for Data Analytics'!I2:I1201,"Pending")</f>
        <v>237</v>
      </c>
      <c r="G4" s="1" t="s">
        <v>76</v>
      </c>
      <c r="H4" s="1">
        <f>COUNTIF('Dataset for Data Analytics'!M2:M1201,"Google")</f>
        <v>241</v>
      </c>
    </row>
    <row r="5" spans="1:8">
      <c r="A5" s="1" t="s">
        <v>4288</v>
      </c>
      <c r="B5" s="1">
        <f>MAX('Dataset for Data Analytics'!N2:N1201)</f>
        <v>3456.4</v>
      </c>
      <c r="C5" s="3"/>
      <c r="D5" s="1" t="s">
        <v>35</v>
      </c>
      <c r="E5" s="1">
        <f>COUNTIF('Dataset for Data Analytics'!I2:I1201,"Cancelled")</f>
        <v>250</v>
      </c>
      <c r="G5" s="1" t="s">
        <v>38</v>
      </c>
      <c r="H5" s="1">
        <f>COUNTIF('Dataset for Data Analytics'!M2:M1201,"Email")</f>
        <v>250</v>
      </c>
    </row>
    <row r="6" spans="1:8">
      <c r="A6" s="1" t="s">
        <v>4289</v>
      </c>
      <c r="B6" s="1">
        <f>MIN('Dataset for Data Analytics'!N2:N1201)</f>
        <v>11.39</v>
      </c>
      <c r="C6" s="3"/>
      <c r="D6" s="1" t="s">
        <v>43</v>
      </c>
      <c r="E6" s="1">
        <f>COUNTIF('Dataset for Data Analytics'!I2:I1201,"Returned")</f>
        <v>247</v>
      </c>
      <c r="G6" s="1" t="s">
        <v>29</v>
      </c>
      <c r="H6" s="1">
        <f>COUNTIF('Dataset for Data Analytics'!M:M,"Referral")</f>
        <v>222</v>
      </c>
    </row>
    <row r="7" spans="1:8">
      <c r="A7" s="1" t="s">
        <v>4293</v>
      </c>
      <c r="B7" s="1">
        <f>COUNTA('Dataset for Data Analytics'!L2:L1001)</f>
        <v>1000</v>
      </c>
    </row>
    <row r="8" spans="1:8">
      <c r="A8" s="1" t="s">
        <v>4294</v>
      </c>
      <c r="B8" s="1">
        <f>COUNTBLANK('Dataset for Data Analytics'!L2:L1001)</f>
        <v>0</v>
      </c>
    </row>
    <row r="9" spans="1:8">
      <c r="A9" s="1" t="s">
        <v>4295</v>
      </c>
      <c r="B9" s="1" t="str" cm="1">
        <f t="array" ref="B9">INDEX('Dataset for Data Analytics'!L2:L1001,MATCH(MAX(COUNTIF('Dataset for Data Analytics'!L2:L1001,'Dataset for Data Analytics'!L2:L1001)),COUNTIF('Dataset for Data Analytics'!L2:L1001,'Dataset for Data Analytics'!L2:L1001),0))</f>
        <v>FREESHIP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 for Data Analytics</vt:lpstr>
      <vt:lpstr>Change Log</vt:lpstr>
      <vt:lpstr>EDA Analysis</vt:lpstr>
      <vt:lpstr>Summary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ezekiel connect</dc:creator>
  <cp:lastModifiedBy>ezekiel connect</cp:lastModifiedBy>
  <cp:lastPrinted>2026-07-11T16:44:53Z</cp:lastPrinted>
  <dcterms:created xsi:type="dcterms:W3CDTF">2026-07-10T06:07:00Z</dcterms:created>
  <dcterms:modified xsi:type="dcterms:W3CDTF">2026-07-11T17:57:38Z</dcterms:modified>
</cp:coreProperties>
</file>