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D805A1E-1D81-488A-B5C3-152C81D34A7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set for Data Analytics" sheetId="1" r:id="rId1"/>
    <sheet name="Change Log" sheetId="3" r:id="rId2"/>
    <sheet name="Summary Reference" sheetId="2" r:id="rId3"/>
  </sheets>
  <definedNames>
    <definedName name="_xlnm._FilterDatabase" localSheetId="0" hidden="1">'Dataset for Data Analytics'!$L$1:$L$1201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2" l="1" a="1"/>
  <c r="B9" i="2" s="1"/>
  <c r="B8" i="2"/>
  <c r="B7" i="2"/>
  <c r="H6" i="2"/>
  <c r="E6" i="2"/>
  <c r="B6" i="2"/>
  <c r="H5" i="2"/>
  <c r="E5" i="2"/>
  <c r="B5" i="2"/>
  <c r="H4" i="2"/>
  <c r="E4" i="2"/>
  <c r="B4" i="2"/>
  <c r="H3" i="2"/>
  <c r="E3" i="2"/>
  <c r="B3" i="2"/>
  <c r="H2" i="2"/>
  <c r="E2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<sst xmlns="http://schemas.openxmlformats.org/spreadsheetml/2006/main" count="10862" uniqueCount="4317">
  <si>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</si>
  <si>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</si>
  <si>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</si>
  <si>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</si>
  <si>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</si>
  <si>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</si>
  <si>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</si>
  <si>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</si>
  <si>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</si>
  <si>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</si>
  <si>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</si>
  <si>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</si>
  <si>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</si>
  <si>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</si>
  <si>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</si>
  <si>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</si>
  <si>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</si>
  <si>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</si>
  <si>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</si>
  <si>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</si>
  <si>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</si>
  <si>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</si>
  <si>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</si>
  <si>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</si>
  <si>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</si>
  <si>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</si>
  <si>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</si>
  <si>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</si>
  <si>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</si>
  <si>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</si>
  <si>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</si>
  <si>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</si>
  <si>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</si>
  <si>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</si>
  <si>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</si>
  <si>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</si>
  <si>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</si>
  <si>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</si>
  <si>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</si>
  <si>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</si>
  <si>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</si>
  <si>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</si>
  <si>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</si>
  <si>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</si>
  <si>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</si>
  <si>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</si>
  <si>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</si>
  <si>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</si>
  <si>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</si>
  <si>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</si>
  <si>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</si>
  <si>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</si>
  <si>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</si>
  <si>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</si>
  <si>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</si>
  <si>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</si>
  <si>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</si>
  <si>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</si>
  <si>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</si>
  <si>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</si>
  <si>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</si>
  <si>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</si>
  <si>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</si>
  <si>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</si>
  <si>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</si>
  <si>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</si>
  <si>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</si>
  <si>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</si>
  <si>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</si>
  <si>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</si>
  <si>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</si>
  <si>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</si>
  <si>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</si>
  <si>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</si>
  <si>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</si>
  <si>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</si>
  <si>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</si>
  <si>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</si>
  <si>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</si>
  <si>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</si>
  <si>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</si>
  <si>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</si>
  <si>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</si>
  <si>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</si>
  <si>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</si>
  <si>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</si>
  <si>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</si>
  <si>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</si>
  <si>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</si>
  <si>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</si>
  <si>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</si>
  <si>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</si>
  <si>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</si>
  <si>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</si>
  <si>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</si>
  <si>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</si>
  <si>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</si>
  <si>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</si>
  <si>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</si>
  <si>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</si>
  <si>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</si>
  <si>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</si>
  <si>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</si>
  <si>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</si>
  <si>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</si>
  <si>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</si>
  <si>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</si>
  <si>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</si>
  <si>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</si>
  <si>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</si>
  <si>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</si>
  <si>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</si>
  <si>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</si>
  <si>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</si>
  <si>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</si>
  <si>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</si>
  <si>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</si>
  <si>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</si>
  <si>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</si>
  <si>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</si>
  <si>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</si>
  <si>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</si>
  <si>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</si>
  <si>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</si>
  <si>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</si>
  <si>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</si>
  <si>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</si>
  <si>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</si>
  <si>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</si>
  <si>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</si>
  <si>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</si>
  <si>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</si>
  <si>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</si>
  <si>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</si>
  <si>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</si>
  <si>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</si>
  <si>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</si>
  <si>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</si>
  <si>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</si>
  <si>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</si>
  <si>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</si>
  <si>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</si>
  <si>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</si>
  <si>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</si>
  <si>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</si>
  <si>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</si>
  <si>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</si>
  <si>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</si>
  <si>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</si>
  <si>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</si>
  <si>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</si>
  <si>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</si>
  <si>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</si>
  <si>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</si>
  <si>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</si>
  <si>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</si>
  <si>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</si>
  <si>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</si>
  <si>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</si>
  <si>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</si>
  <si>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</si>
  <si>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</si>
  <si>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</si>
  <si>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</si>
  <si>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</si>
  <si>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</si>
  <si>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</si>
  <si>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</si>
  <si>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</si>
  <si>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</si>
  <si>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</si>
  <si>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</si>
  <si>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</si>
  <si>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</si>
  <si>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</si>
  <si>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</si>
  <si>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</si>
  <si>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</si>
  <si>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</si>
  <si>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</si>
  <si>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</si>
  <si>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</si>
  <si>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</si>
  <si>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</si>
  <si>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</si>
  <si>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</si>
  <si>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</si>
  <si>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</si>
  <si>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</si>
  <si>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</si>
  <si>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</si>
  <si>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</si>
  <si>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</si>
  <si>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</si>
  <si>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</si>
  <si>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</si>
  <si>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</si>
  <si>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</si>
  <si>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</si>
  <si>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</si>
  <si>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</si>
  <si>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</si>
  <si>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</si>
  <si>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</si>
  <si>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</si>
  <si>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</si>
  <si>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</si>
  <si>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</si>
  <si>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</si>
  <si>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</si>
  <si>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</si>
  <si>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</si>
  <si>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</si>
  <si>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</si>
  <si>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</si>
  <si>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</si>
  <si>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</si>
  <si>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</si>
  <si>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</si>
  <si>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</si>
  <si>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</si>
  <si>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</si>
  <si>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</si>
  <si>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</si>
  <si>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</si>
  <si>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</si>
  <si>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</si>
  <si>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</si>
  <si>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</si>
  <si>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</si>
  <si>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</si>
  <si>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</si>
  <si>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</si>
  <si>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</si>
  <si>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</si>
  <si>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</si>
  <si>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</si>
  <si>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</si>
  <si>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</si>
  <si>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</si>
  <si>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</si>
  <si>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</si>
  <si>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</si>
  <si>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</si>
  <si>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</si>
  <si>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</si>
  <si>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</si>
  <si>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</si>
  <si>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</si>
  <si>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</si>
  <si>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</si>
  <si>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</si>
  <si>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</si>
  <si>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</si>
  <si>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</si>
  <si>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</si>
  <si>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</si>
  <si>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</si>
  <si>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</si>
  <si>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</si>
  <si>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</si>
  <si>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</si>
  <si>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</si>
  <si>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</si>
  <si>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</si>
  <si>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</si>
  <si>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</si>
  <si>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</si>
  <si>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</si>
  <si>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</si>
  <si>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</si>
  <si>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</si>
  <si>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</si>
  <si>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</si>
  <si>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</si>
  <si>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</si>
  <si>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</si>
  <si>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</si>
  <si>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</si>
  <si>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</si>
  <si>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</si>
  <si>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</si>
  <si>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</si>
  <si>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</si>
  <si>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</si>
  <si>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</si>
  <si>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</si>
  <si>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</si>
  <si>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</si>
  <si>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</si>
  <si>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</si>
  <si>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</si>
  <si>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</si>
  <si>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</si>
  <si>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</si>
  <si>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</si>
  <si>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</si>
  <si>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</si>
  <si>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</si>
  <si>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</si>
  <si>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</si>
  <si>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</si>
  <si>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</si>
  <si>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</si>
  <si>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</si>
  <si>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</si>
  <si>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</si>
  <si>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</si>
  <si>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</si>
  <si>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</si>
  <si>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</si>
  <si>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</si>
  <si>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</si>
  <si>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</si>
  <si>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</si>
  <si>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</si>
  <si>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</si>
  <si>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</si>
  <si>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</si>
  <si>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</si>
  <si>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</si>
  <si>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</si>
  <si>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</si>
  <si>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</si>
  <si>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</si>
  <si>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</si>
  <si>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</si>
  <si>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</si>
  <si>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</si>
  <si>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</si>
  <si>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</si>
  <si>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</si>
  <si>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</si>
  <si>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</si>
  <si>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</si>
  <si>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</si>
  <si>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</si>
  <si>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</si>
  <si>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</si>
  <si>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</si>
  <si>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</si>
  <si>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</si>
  <si>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</si>
  <si>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</si>
  <si>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</si>
  <si>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</si>
  <si>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</si>
  <si>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</si>
  <si>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</si>
  <si>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</si>
  <si>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</si>
  <si>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</si>
  <si>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</si>
  <si>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</si>
  <si>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</si>
  <si>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</si>
  <si>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</si>
  <si>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</si>
  <si>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</si>
  <si>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</si>
  <si>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</si>
  <si>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</si>
  <si>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</si>
  <si>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</si>
  <si>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</si>
  <si>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</si>
  <si>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</si>
  <si>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</si>
  <si>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</si>
  <si>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</si>
  <si>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</si>
  <si>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</si>
  <si>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</si>
  <si>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</si>
  <si>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</si>
  <si>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</si>
  <si>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</si>
  <si>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</si>
  <si>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</si>
  <si>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</si>
  <si>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</si>
  <si>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</si>
  <si>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</si>
  <si>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</si>
  <si>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</si>
  <si>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</si>
  <si>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</si>
  <si>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</si>
  <si>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</si>
  <si>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</si>
  <si>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</si>
  <si>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</si>
  <si>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</si>
  <si>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</si>
  <si>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</si>
  <si>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</si>
  <si>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</si>
  <si>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</si>
  <si>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</si>
  <si>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</si>
  <si>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</si>
  <si>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</si>
  <si>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</si>
  <si>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</si>
  <si>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</si>
  <si>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</si>
  <si>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</si>
  <si>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</si>
  <si>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</si>
  <si>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</si>
  <si>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</si>
  <si>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</si>
  <si>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</si>
  <si>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</si>
  <si>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</si>
  <si>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</si>
  <si>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</si>
  <si>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</si>
  <si>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</si>
  <si>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</si>
  <si>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</si>
  <si>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</si>
  <si>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</si>
  <si>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</si>
  <si>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</si>
  <si>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</si>
  <si>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</si>
  <si>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</si>
  <si>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</si>
  <si>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</si>
  <si>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</si>
  <si>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</si>
  <si>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</si>
  <si>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</si>
  <si>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</si>
  <si>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</si>
  <si>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</si>
  <si>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</si>
  <si>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</si>
  <si>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</si>
  <si>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</si>
  <si>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</si>
  <si>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</si>
  <si>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</si>
  <si>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</si>
  <si>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</si>
  <si>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</si>
  <si>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</si>
  <si>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</si>
  <si>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</si>
  <si>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</si>
  <si>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</si>
  <si>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</si>
  <si>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</si>
  <si>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</si>
  <si>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</si>
  <si>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</si>
  <si>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</si>
  <si>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</si>
  <si>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</si>
  <si>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</si>
  <si>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</si>
  <si>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</si>
  <si>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</si>
  <si>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</si>
  <si>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</si>
  <si>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</si>
  <si>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</si>
  <si>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</si>
  <si>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</si>
  <si>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</si>
  <si>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</si>
  <si>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</si>
  <si>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</si>
  <si>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</si>
  <si>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</si>
  <si>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</si>
  <si>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</si>
  <si>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</si>
  <si>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</si>
  <si>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</si>
  <si>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</si>
  <si>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</si>
  <si>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</si>
  <si>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</si>
  <si>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</si>
  <si>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</si>
  <si>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</si>
  <si>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</si>
  <si>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</si>
  <si>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</si>
  <si>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</si>
  <si>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</si>
  <si>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</si>
  <si>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</si>
  <si>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</si>
  <si>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</si>
  <si>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</si>
  <si>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</si>
  <si>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</si>
  <si>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</si>
  <si>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</si>
  <si>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</si>
  <si>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</si>
  <si>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</si>
  <si>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</si>
  <si>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</si>
  <si>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</si>
  <si>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</si>
  <si>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</si>
  <si>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</si>
  <si>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</si>
  <si>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</si>
  <si>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</si>
  <si>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</si>
  <si>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</si>
  <si>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</si>
  <si>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</si>
  <si>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</si>
  <si>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</si>
  <si>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</si>
  <si>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</si>
  <si>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</si>
  <si>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</si>
  <si>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</si>
  <si>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</si>
  <si>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</si>
  <si>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</si>
  <si>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</si>
  <si>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</si>
  <si>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</si>
  <si>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</si>
  <si>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</si>
  <si>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</si>
  <si>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</si>
  <si>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</si>
  <si>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</si>
  <si>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</si>
  <si>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</si>
  <si>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</si>
  <si>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</si>
  <si>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</si>
  <si>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</si>
  <si>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</si>
  <si>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</si>
  <si>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</si>
  <si>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</si>
  <si>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</si>
  <si>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</si>
  <si>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</si>
  <si>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</si>
  <si>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</si>
  <si>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</si>
  <si>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</si>
  <si>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</si>
  <si>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</si>
  <si>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</si>
  <si>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</si>
  <si>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</si>
  <si>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</si>
  <si>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</si>
  <si>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</si>
  <si>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</si>
  <si>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</si>
  <si>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</si>
  <si>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</si>
  <si>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</si>
  <si>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</si>
  <si>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</si>
  <si>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</si>
  <si>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</si>
  <si>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</si>
  <si>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</si>
  <si>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</si>
  <si>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</si>
  <si>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</si>
  <si>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</si>
  <si>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</si>
  <si>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</si>
  <si>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</si>
  <si>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</si>
  <si>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</si>
  <si>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</si>
  <si>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</si>
  <si>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</si>
  <si>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</si>
  <si>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</si>
  <si>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</si>
  <si>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</si>
  <si>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</si>
  <si>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</si>
  <si>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</si>
  <si>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</si>
  <si>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</si>
  <si>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</si>
  <si>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</si>
  <si>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</si>
  <si>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</si>
  <si>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</si>
  <si>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</si>
  <si>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</si>
  <si>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</si>
  <si>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</si>
  <si>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</si>
  <si>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</si>
  <si>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</si>
  <si>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</si>
  <si>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</si>
  <si>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</si>
  <si>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</si>
  <si>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</si>
  <si>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</si>
  <si>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</si>
  <si>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</si>
  <si>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</si>
  <si>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</si>
  <si>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</si>
  <si>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</si>
  <si>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</si>
  <si>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</si>
  <si>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</si>
  <si>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</si>
  <si>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</si>
  <si>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</si>
  <si>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</si>
  <si>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</si>
  <si>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</si>
  <si>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</si>
  <si>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</si>
  <si>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</si>
  <si>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</si>
  <si>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</si>
  <si>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</si>
  <si>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</si>
  <si>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</si>
  <si>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</si>
  <si>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</si>
  <si>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</si>
  <si>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</si>
  <si>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</si>
  <si>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</si>
  <si>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</si>
  <si>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</si>
  <si>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</si>
  <si>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</si>
  <si>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</si>
  <si>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</si>
  <si>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</si>
  <si>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</si>
  <si>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</si>
  <si>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</si>
  <si>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</si>
  <si>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</si>
  <si>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</si>
  <si>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</si>
  <si>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</si>
  <si>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</si>
  <si>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</si>
  <si>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</si>
  <si>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</si>
  <si>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</si>
  <si>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</si>
  <si>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</si>
  <si>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</si>
  <si>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</si>
  <si>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</si>
  <si>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</si>
  <si>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</si>
  <si>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</si>
  <si>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</si>
  <si>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</si>
  <si>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</si>
  <si>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</si>
  <si>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</si>
  <si>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</si>
  <si>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</si>
  <si>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</si>
  <si>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</si>
  <si>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</si>
  <si>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</si>
  <si>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</si>
  <si>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</si>
  <si>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</si>
  <si>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</si>
  <si>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</si>
  <si>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</si>
  <si>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</si>
  <si>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</si>
  <si>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</si>
  <si>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</si>
  <si>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</si>
  <si>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</si>
  <si>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</si>
  <si>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</si>
  <si>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</si>
  <si>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</si>
  <si>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</si>
  <si>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</si>
  <si>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</si>
  <si>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</si>
  <si>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</si>
  <si>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</si>
  <si>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</si>
  <si>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</si>
  <si>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</si>
  <si>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</si>
  <si>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</si>
  <si>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</si>
  <si>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</si>
  <si>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</si>
  <si>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</si>
  <si>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</si>
  <si>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</si>
  <si>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</si>
  <si>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</si>
  <si>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</si>
  <si>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</si>
  <si>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</si>
  <si>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</si>
  <si>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</si>
  <si>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</si>
  <si>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</si>
  <si>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</si>
  <si>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</si>
  <si>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</si>
  <si>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</si>
  <si>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</si>
  <si>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</si>
  <si>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</si>
  <si>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</si>
  <si>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</si>
  <si>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</si>
  <si>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</si>
  <si>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</si>
  <si>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</si>
  <si>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</si>
  <si>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</si>
  <si>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</si>
  <si>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</si>
  <si>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</si>
  <si>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</si>
  <si>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</si>
  <si>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</si>
  <si>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</si>
  <si>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</si>
  <si>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</si>
  <si>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</si>
  <si>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</si>
  <si>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</si>
  <si>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</si>
  <si>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</si>
  <si>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</si>
  <si>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</si>
  <si>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</si>
  <si>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</si>
  <si>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</si>
  <si>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</si>
  <si>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</si>
  <si>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</si>
  <si>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</si>
  <si>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</si>
  <si>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</si>
  <si>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</si>
  <si>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</si>
  <si>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</si>
  <si>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</si>
  <si>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</si>
  <si>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</si>
  <si>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</si>
  <si>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</si>
  <si>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</si>
  <si>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</si>
  <si>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</si>
  <si>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</si>
  <si>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</si>
  <si>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</si>
  <si>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</si>
  <si>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</si>
  <si>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</si>
  <si>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</si>
  <si>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</si>
  <si>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</si>
  <si>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</si>
  <si>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</si>
  <si>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</si>
  <si>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</si>
  <si>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</si>
  <si>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</si>
  <si>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</si>
  <si>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</si>
  <si>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</si>
  <si>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</si>
  <si>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</si>
  <si>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</si>
  <si>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</si>
  <si>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</si>
  <si>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</si>
  <si>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</si>
  <si>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</si>
  <si>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</si>
  <si>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</si>
  <si>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</si>
  <si>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</si>
  <si>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</si>
  <si>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</si>
  <si>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</si>
  <si>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</si>
  <si>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</si>
  <si>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</si>
  <si>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</si>
  <si>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</si>
  <si>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</si>
  <si>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</si>
  <si>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</si>
  <si>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</si>
  <si>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</si>
  <si>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</si>
  <si>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</si>
  <si>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</si>
  <si>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</si>
  <si>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</si>
  <si>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</si>
  <si>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</si>
  <si>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</si>
  <si>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</si>
  <si>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</si>
  <si>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</si>
  <si>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</si>
  <si>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</si>
  <si>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</si>
  <si>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</si>
  <si>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</si>
  <si>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</si>
  <si>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</si>
  <si>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</si>
  <si>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</si>
  <si>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</si>
  <si>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</si>
  <si>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</si>
  <si>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</si>
  <si>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</si>
  <si>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</si>
  <si>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</si>
  <si>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</si>
  <si>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</si>
  <si>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</si>
  <si>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</si>
  <si>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</si>
  <si>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</si>
  <si>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</si>
  <si>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</si>
  <si>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</si>
  <si>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</si>
  <si>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</si>
  <si>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</si>
  <si>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</si>
  <si>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</si>
  <si>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</si>
  <si>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</si>
  <si>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</si>
  <si>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</si>
  <si>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</si>
  <si>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</si>
  <si>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</si>
  <si>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</si>
  <si>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</si>
  <si>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</si>
  <si>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</si>
  <si>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</si>
  <si>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</si>
  <si>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</si>
  <si>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</si>
  <si>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</si>
  <si>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</si>
  <si>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</si>
  <si>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</si>
  <si>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</si>
  <si>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</si>
  <si>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</si>
  <si>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</si>
  <si>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</si>
  <si>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</si>
  <si>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</si>
  <si>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</si>
  <si>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</si>
  <si>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</si>
  <si>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</si>
  <si>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</si>
  <si>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</si>
  <si>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</si>
  <si>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</si>
  <si>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</si>
  <si>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</si>
  <si>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</si>
  <si>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</si>
  <si>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</si>
  <si>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</si>
  <si>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</si>
  <si>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</si>
  <si>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</si>
  <si>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</si>
  <si>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</si>
  <si>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</si>
  <si>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</si>
  <si>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</si>
  <si>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</si>
  <si>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</si>
  <si>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</si>
  <si>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</si>
  <si>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</si>
  <si>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</si>
  <si>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</si>
  <si>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</si>
  <si>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</si>
  <si>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</si>
  <si>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</si>
  <si>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</si>
  <si>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</si>
  <si>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</si>
  <si>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</si>
  <si>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</si>
  <si>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</si>
  <si>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</si>
  <si>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</si>
  <si>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</si>
  <si>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</si>
  <si>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</si>
  <si>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</si>
  <si>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</si>
  <si>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</si>
  <si>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</si>
  <si>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</si>
  <si>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</si>
  <si>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</si>
  <si>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</si>
  <si>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</si>
  <si>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</si>
  <si>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</si>
  <si>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</si>
  <si>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</si>
  <si>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</si>
  <si>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</si>
  <si>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</si>
  <si>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</si>
  <si>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</si>
  <si>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</si>
  <si>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</si>
  <si>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</si>
  <si>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</si>
  <si>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</si>
  <si>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</si>
  <si>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</si>
  <si>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</si>
  <si>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</si>
  <si>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</si>
  <si>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</si>
  <si>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</si>
  <si>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</si>
  <si>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</si>
  <si>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</si>
  <si>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</si>
  <si>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</si>
  <si>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</si>
  <si>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</si>
  <si>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</si>
  <si>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</si>
  <si>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</si>
  <si>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</si>
  <si>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</si>
  <si>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</si>
  <si>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</si>
  <si>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</si>
  <si>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</si>
  <si>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</si>
  <si>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</si>
  <si>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</si>
  <si>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</si>
  <si>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</si>
  <si>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</si>
  <si>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</si>
  <si>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</si>
  <si>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</si>
  <si>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</si>
  <si>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</si>
  <si>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</si>
  <si>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</si>
  <si>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</si>
  <si>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</si>
  <si>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</si>
  <si>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</si>
  <si>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</si>
  <si>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</si>
  <si>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</si>
  <si>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</si>
  <si>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</si>
  <si>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</si>
  <si>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</si>
  <si>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</si>
  <si>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</si>
  <si>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</si>
  <si>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</si>
  <si>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</si>
  <si>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</si>
  <si>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</si>
  <si>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</si>
  <si>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</si>
  <si>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</si>
  <si>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</si>
  <si>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</si>
  <si>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</si>
  <si>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</si>
  <si>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</si>
  <si>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</si>
  <si>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</si>
  <si>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</si>
  <si>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</si>
  <si>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</si>
  <si>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</si>
  <si>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</si>
  <si>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</si>
  <si>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</si>
  <si>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</si>
  <si>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</si>
  <si>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</si>
  <si>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</si>
  <si>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</si>
  <si>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</si>
  <si>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</si>
  <si>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</si>
  <si>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</si>
  <si>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</si>
  <si>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</si>
  <si>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</si>
  <si>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</si>
  <si>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</si>
  <si>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</si>
  <si>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</si>
  <si>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</si>
  <si>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</si>
  <si>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</si>
  <si>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</si>
  <si>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</si>
  <si>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</si>
  <si>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</si>
  <si>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</si>
  <si>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</si>
  <si>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</si>
  <si>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</si>
  <si>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</si>
  <si>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</si>
  <si>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</si>
  <si>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</si>
  <si>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</si>
  <si>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</si>
  <si>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</si>
  <si>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</si>
  <si>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</si>
  <si>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</si>
  <si>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</si>
  <si>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</si>
  <si>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</si>
  <si>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</si>
  <si>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</si>
  <si>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</si>
  <si>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</si>
  <si>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</si>
  <si>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</si>
  <si>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</si>
  <si>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</si>
  <si>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</si>
  <si>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</si>
  <si>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</si>
  <si>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</si>
  <si>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</si>
  <si>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</si>
  <si>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</si>
  <si>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</si>
  <si>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</si>
  <si>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</si>
  <si>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</si>
  <si>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</si>
  <si>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</si>
  <si>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</si>
  <si>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</si>
  <si>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</si>
  <si>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</si>
  <si>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</si>
  <si>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</si>
  <si>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</si>
  <si>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</si>
  <si>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</si>
  <si>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</si>
  <si>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</si>
  <si>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</si>
  <si>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</si>
  <si>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</si>
  <si>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</si>
  <si>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</si>
  <si>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</si>
  <si>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</si>
  <si>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</si>
  <si>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</si>
  <si>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</si>
  <si>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</si>
  <si>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</si>
  <si>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</si>
  <si>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</si>
  <si>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</si>
  <si>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</si>
  <si>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</si>
  <si>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</si>
  <si>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</si>
  <si>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</si>
  <si>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</si>
  <si>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</si>
  <si>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</si>
  <si>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</si>
  <si>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</si>
  <si>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</si>
  <si>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</si>
  <si>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</si>
  <si>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</si>
  <si>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</si>
  <si>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</si>
  <si>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</si>
  <si>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</si>
  <si>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</si>
  <si>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</si>
  <si>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</si>
  <si>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</si>
  <si>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</si>
  <si>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</si>
  <si>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</si>
  <si>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</si>
  <si>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</si>
  <si>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</si>
  <si>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</si>
  <si>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</si>
  <si>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</si>
  <si>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</si>
  <si>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</si>
  <si>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</si>
  <si>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</si>
  <si>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</si>
  <si>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</si>
  <si>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</si>
  <si>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</si>
  <si>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</si>
  <si>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</si>
  <si>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</si>
  <si>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</si>
  <si>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</si>
  <si>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</si>
  <si>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</si>
  <si>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</si>
  <si>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</si>
  <si>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</si>
  <si>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</si>
  <si>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</si>
  <si>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</si>
  <si>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</si>
  <si>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</si>
  <si>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</si>
  <si>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</si>
  <si>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</si>
  <si>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</si>
  <si>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</si>
  <si>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</si>
  <si>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</si>
  <si>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</si>
  <si>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</si>
  <si>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</si>
  <si>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</si>
  <si>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</si>
  <si>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</si>
  <si>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</si>
  <si>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</si>
  <si>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</si>
  <si>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</si>
  <si>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</si>
  <si>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</si>
  <si>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</si>
  <si>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</si>
  <si>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</si>
  <si>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</si>
  <si>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</si>
  <si>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</si>
  <si>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</si>
  <si>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</si>
  <si>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</si>
  <si>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</si>
  <si>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</si>
  <si>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</si>
  <si>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</si>
  <si>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</si>
  <si>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</si>
  <si>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</si>
  <si>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</si>
  <si>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</si>
  <si>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</si>
  <si>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</si>
  <si>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</si>
  <si>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</si>
  <si>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</si>
  <si>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</si>
  <si>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</si>
  <si>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</si>
  <si>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</si>
  <si>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</si>
  <si>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</si>
  <si>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</si>
  <si>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</si>
  <si>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</si>
  <si>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</si>
  <si>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</si>
  <si>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</si>
  <si>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</si>
  <si>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</si>
  <si>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</si>
  <si>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</si>
  <si>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</si>
  <si>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</si>
  <si>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</si>
  <si>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</si>
  <si>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</si>
  <si>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</si>
  <si>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</si>
  <si>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</si>
  <si>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</si>
  <si>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</si>
  <si>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</si>
  <si>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</si>
  <si>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</si>
  <si>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</si>
  <si>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</si>
  <si>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</si>
  <si>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</si>
  <si>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</si>
  <si>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</si>
  <si>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</si>
  <si>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</si>
  <si>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</si>
  <si>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</si>
  <si>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</si>
  <si>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</si>
  <si>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</si>
  <si>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</si>
  <si>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</si>
  <si>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</si>
  <si>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</si>
  <si>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</si>
  <si>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</si>
  <si>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</si>
  <si>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</si>
  <si>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</si>
  <si>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</si>
  <si>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</si>
  <si>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</si>
  <si>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</si>
  <si>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</si>
  <si>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</si>
  <si>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</si>
  <si>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</si>
  <si>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</si>
  <si>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</si>
  <si>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</si>
  <si>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</si>
  <si>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</si>
  <si>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</si>
  <si>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</si>
  <si>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</si>
  <si>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</si>
  <si>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</si>
  <si>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</si>
  <si>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</si>
  <si>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</si>
  <si>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</si>
  <si>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</si>
  <si>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</si>
  <si>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</si>
  <si>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</si>
  <si>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</si>
  <si>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</si>
  <si>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</si>
  <si>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</si>
  <si>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</si>
  <si>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</si>
  <si>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</si>
  <si>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</si>
  <si>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</si>
  <si>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</si>
  <si>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</si>
  <si>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</si>
  <si>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</si>
  <si>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</si>
  <si>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</si>
  <si>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</si>
  <si>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</si>
  <si>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</si>
  <si>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</si>
  <si>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</si>
  <si>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</si>
  <si>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</si>
  <si>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</si>
  <si>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</si>
  <si>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</si>
  <si>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</si>
  <si>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</si>
  <si>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</si>
  <si>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</si>
  <si>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</si>
  <si>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</si>
  <si>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</si>
  <si>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</si>
  <si>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</si>
  <si>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</si>
  <si>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</si>
  <si>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</si>
  <si>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</si>
  <si>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</si>
  <si>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</si>
  <si>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</si>
  <si>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</si>
  <si>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</si>
  <si>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</si>
  <si>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</si>
  <si>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</si>
  <si>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</si>
  <si>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</si>
  <si>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</si>
  <si>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</si>
  <si>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</si>
  <si>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</si>
  <si>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</si>
  <si>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</si>
  <si>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</si>
  <si>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</si>
  <si>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</si>
  <si>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</si>
  <si>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</si>
  <si>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</si>
  <si>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</si>
  <si>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</si>
  <si>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</si>
  <si>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</si>
  <si>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</si>
  <si>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</si>
  <si>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</si>
  <si>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</si>
  <si>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</si>
  <si>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</si>
  <si>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</si>
  <si>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</si>
  <si>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</si>
  <si>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</si>
  <si>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</si>
  <si>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</si>
  <si>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</si>
  <si>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</si>
  <si>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</si>
  <si>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</si>
  <si>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</si>
  <si>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</si>
  <si>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</si>
  <si>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</si>
  <si>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</si>
  <si>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</si>
  <si>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</si>
  <si>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</si>
  <si>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</si>
  <si>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</si>
  <si>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</si>
  <si>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</si>
  <si>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</si>
  <si>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</si>
  <si>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</si>
  <si>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</si>
  <si>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</si>
  <si>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</si>
  <si>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</si>
  <si>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</si>
  <si>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</si>
  <si>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</si>
  <si>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</si>
  <si>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</si>
  <si>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</si>
  <si>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</si>
  <si>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</si>
  <si>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</si>
  <si>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</si>
  <si>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</si>
  <si>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</si>
  <si>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</si>
  <si>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</si>
  <si>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</si>
  <si>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</si>
  <si>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</si>
  <si>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</si>
  <si>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</si>
  <si>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</si>
  <si>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</si>
  <si>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</si>
  <si>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</si>
  <si>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</si>
  <si>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</si>
  <si>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</si>
  <si>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</si>
  <si>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</si>
  <si>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</si>
  <si>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</si>
  <si>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</si>
  <si>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</si>
  <si>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</si>
  <si>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</si>
  <si>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</si>
  <si>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</si>
  <si>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</si>
  <si>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</si>
  <si>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</si>
  <si>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</si>
  <si>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</si>
  <si>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</si>
  <si>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</si>
  <si>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</si>
  <si>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</si>
  <si>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</si>
  <si>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</si>
  <si>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</si>
  <si>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</si>
  <si>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</si>
  <si>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</si>
  <si>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</si>
  <si>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</si>
  <si>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</si>
  <si>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</si>
  <si>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</si>
  <si>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</si>
  <si>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</si>
  <si>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</si>
  <si>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</si>
  <si>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</si>
  <si>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</si>
  <si>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</si>
  <si>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</si>
  <si>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</si>
  <si>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</si>
  <si>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</si>
  <si>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</si>
  <si>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</si>
  <si>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</si>
  <si>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</si>
  <si>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</si>
  <si>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</si>
  <si>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</si>
  <si>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</si>
  <si>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</si>
  <si>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</si>
  <si>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</si>
  <si>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</si>
  <si>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</si>
  <si>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</si>
  <si>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</si>
  <si>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</si>
  <si>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</si>
  <si>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</si>
  <si>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</si>
  <si>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</si>
  <si>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</si>
  <si>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</si>
  <si>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</si>
  <si>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</si>
  <si>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</si>
  <si>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</si>
  <si>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</si>
  <si>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</si>
  <si>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</si>
  <si>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</si>
  <si>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</si>
  <si>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</si>
  <si>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</si>
  <si>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</si>
  <si>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</si>
  <si>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</si>
  <si>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</si>
  <si>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</si>
  <si>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</si>
  <si>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</si>
  <si>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</si>
  <si>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</si>
  <si>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</si>
  <si>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</si>
  <si>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</si>
  <si>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</si>
  <si>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</si>
  <si>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</si>
  <si>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</si>
  <si>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</si>
  <si>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</si>
  <si>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</si>
  <si>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</si>
  <si>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</si>
  <si>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</si>
  <si>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</si>
  <si>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</si>
  <si>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</si>
  <si>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</si>
  <si>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</si>
  <si>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</si>
  <si>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</si>
  <si>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</si>
  <si>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</si>
  <si>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</si>
  <si>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</si>
  <si>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</si>
  <si>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</si>
  <si>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</si>
  <si>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</si>
  <si>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</si>
  <si>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</si>
  <si>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</si>
  <si>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</si>
  <si>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</si>
  <si>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</si>
  <si>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</si>
  <si>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</si>
  <si>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</si>
  <si>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</si>
  <si>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</si>
  <si>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</si>
  <si>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</si>
  <si>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</si>
  <si>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</si>
  <si>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</si>
  <si>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</si>
  <si>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</si>
  <si>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</si>
  <si>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</si>
  <si>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</si>
  <si>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</si>
  <si>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</si>
  <si>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</si>
  <si>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</si>
  <si>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</si>
  <si>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</si>
  <si>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</si>
  <si>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</si>
  <si>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</si>
  <si>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</si>
  <si>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</si>
  <si>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</si>
  <si>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</si>
  <si>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</si>
  <si>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</si>
  <si>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</si>
  <si>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</si>
  <si>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</si>
  <si>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</si>
  <si>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</si>
  <si>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</si>
  <si>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</si>
  <si>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</si>
  <si>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</si>
  <si>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</si>
  <si>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</si>
  <si>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</si>
  <si>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</si>
  <si>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</si>
  <si>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</si>
  <si>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</si>
  <si>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</si>
  <si>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</si>
  <si>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</si>
  <si>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</si>
  <si>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</si>
  <si>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</si>
  <si>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</si>
  <si>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</si>
  <si>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</si>
  <si>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</si>
  <si>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</si>
  <si>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</si>
  <si>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</si>
  <si>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</si>
  <si>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</si>
  <si>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</si>
  <si>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</si>
  <si>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</si>
  <si>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</si>
  <si>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</si>
  <si>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</si>
  <si>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</si>
  <si>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</si>
  <si>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</si>
  <si>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</si>
  <si>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</si>
  <si>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</si>
  <si>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</si>
  <si>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</si>
  <si>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</si>
  <si>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</si>
  <si>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</si>
  <si>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</si>
  <si>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</si>
  <si>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</si>
  <si>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</si>
  <si>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</si>
  <si>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</si>
  <si>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</si>
  <si>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</si>
  <si>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</si>
  <si>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</si>
  <si>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</si>
  <si>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</si>
  <si>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</si>
  <si>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</si>
  <si>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</si>
  <si>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</si>
  <si>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</si>
  <si>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</si>
  <si>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</si>
  <si>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</si>
  <si>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</si>
  <si>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</si>
  <si>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</si>
  <si>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</si>
  <si>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</si>
  <si>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</si>
  <si>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</si>
  <si>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</si>
  <si>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</si>
  <si>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</si>
  <si>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</si>
  <si>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</si>
  <si>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</si>
  <si>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</si>
  <si>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</si>
  <si>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</si>
  <si>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</si>
  <si>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</si>
  <si>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</si>
  <si>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</si>
  <si>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</si>
  <si>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</si>
  <si>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</si>
  <si>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</si>
  <si>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</si>
  <si>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</si>
  <si>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</si>
  <si>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</si>
  <si>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</si>
  <si>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</si>
  <si>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</si>
  <si>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</si>
  <si>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</si>
  <si>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</si>
  <si>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</si>
  <si>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</si>
  <si>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</si>
  <si>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</si>
  <si>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</si>
  <si>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</si>
  <si>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</si>
  <si>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</si>
  <si>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</si>
  <si>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</si>
  <si>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</si>
  <si>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</si>
  <si>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</si>
  <si>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</si>
  <si>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</si>
  <si>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</si>
  <si>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</si>
  <si>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</si>
  <si>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</si>
  <si>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</si>
  <si>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</si>
  <si>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</si>
  <si>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</si>
  <si>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</si>
  <si>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</si>
  <si>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</si>
  <si>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</si>
  <si>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</si>
  <si>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</si>
  <si>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</si>
  <si>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</si>
  <si>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</si>
  <si>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</si>
  <si>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</si>
  <si>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</si>
  <si>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</si>
  <si>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</si>
  <si>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</si>
  <si>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</si>
  <si>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</si>
  <si>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</si>
  <si>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</si>
  <si>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</si>
  <si>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</si>
  <si>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</si>
  <si>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</si>
  <si>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</si>
  <si>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</si>
  <si>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</si>
  <si>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</si>
  <si>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</si>
  <si>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</si>
  <si>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</si>
  <si>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</si>
  <si>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</si>
  <si>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</si>
  <si>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</si>
  <si>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</si>
  <si>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</si>
  <si>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</si>
  <si>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</si>
  <si>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</si>
  <si>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</si>
  <si>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</si>
  <si>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</si>
  <si>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</si>
  <si>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</si>
  <si>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</si>
  <si>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</si>
  <si>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</si>
  <si>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</si>
  <si>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</si>
  <si>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</si>
  <si>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</si>
  <si>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</si>
  <si>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</si>
  <si>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</si>
  <si>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</si>
  <si>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</si>
  <si>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</si>
  <si>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</si>
  <si>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</si>
  <si>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</si>
  <si>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</si>
  <si>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</si>
  <si>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</si>
  <si>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</si>
  <si>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</si>
  <si>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</si>
  <si>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</si>
  <si>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</si>
  <si>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</si>
  <si>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</si>
  <si>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</si>
  <si>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</si>
  <si>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</si>
  <si>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</si>
  <si>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</si>
  <si>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</si>
  <si>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</si>
  <si>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</si>
  <si>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</si>
  <si>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</si>
  <si>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</si>
  <si>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</si>
  <si>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</si>
  <si>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</si>
  <si>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</si>
  <si>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</si>
  <si>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</si>
  <si>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</si>
  <si>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</si>
  <si>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</si>
  <si>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</si>
  <si>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</si>
  <si>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</si>
  <si>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</si>
  <si>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</si>
  <si>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</si>
  <si>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</si>
  <si>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</si>
  <si>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</si>
  <si>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</si>
  <si>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</si>
  <si>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</si>
  <si>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</si>
  <si>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</si>
  <si>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</si>
  <si>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</si>
  <si>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</si>
  <si>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</si>
  <si>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</si>
  <si>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</si>
  <si>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</si>
  <si>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</si>
  <si>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</si>
  <si>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</si>
  <si>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</si>
  <si>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</si>
  <si>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</si>
  <si>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</si>
  <si>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</si>
  <si>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</si>
  <si>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</si>
  <si>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</si>
  <si>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</si>
  <si>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</si>
  <si>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</si>
  <si>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</si>
  <si>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</si>
  <si>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</si>
  <si>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</si>
  <si>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</si>
  <si>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</si>
  <si>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</si>
  <si>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</si>
  <si>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</si>
  <si>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</si>
  <si>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</si>
  <si>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</si>
  <si>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</si>
  <si>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</si>
  <si>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</si>
  <si>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</si>
  <si>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</si>
  <si>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</si>
  <si>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</si>
  <si>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</si>
  <si>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</si>
  <si>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</si>
  <si>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</si>
  <si>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</si>
  <si>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</si>
  <si>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</si>
  <si>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</si>
  <si>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</si>
  <si>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</si>
  <si>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</si>
  <si>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</si>
  <si>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</si>
  <si>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</si>
  <si>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</si>
  <si>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</si>
  <si>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</si>
  <si>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</si>
  <si>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</si>
  <si>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</si>
  <si>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</si>
  <si>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</si>
  <si>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</si>
  <si>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</si>
  <si>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</si>
  <si>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</si>
  <si>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</si>
  <si>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</si>
  <si>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</si>
  <si>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</si>
  <si>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</si>
  <si>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</si>
  <si>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</si>
  <si>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</si>
  <si>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</si>
  <si>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</si>
  <si>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</si>
  <si>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</si>
  <si>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</si>
  <si>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</si>
  <si>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</si>
  <si>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</si>
  <si>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</si>
  <si>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</si>
  <si>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</si>
  <si>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</si>
  <si>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</si>
  <si>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</si>
  <si>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</si>
  <si>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</si>
  <si>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</si>
  <si>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</si>
  <si>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</si>
  <si>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</si>
  <si>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</si>
  <si>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</si>
  <si>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</si>
  <si>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</si>
  <si>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</si>
  <si>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</si>
  <si>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</si>
  <si>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</si>
  <si>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</si>
  <si>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</si>
  <si>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</si>
  <si>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</si>
  <si>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</si>
  <si>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</si>
  <si>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</si>
  <si>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</si>
  <si>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</si>
  <si>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</si>
  <si>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</si>
  <si>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</si>
  <si>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</si>
  <si>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</si>
  <si>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</si>
  <si>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</si>
  <si>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</si>
  <si>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</si>
  <si>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</si>
  <si>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</si>
  <si>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</si>
  <si>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</si>
  <si>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</si>
  <si>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</si>
  <si>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</si>
  <si>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</si>
  <si>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</si>
  <si>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</si>
  <si>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</si>
  <si>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</si>
  <si>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</si>
  <si>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</si>
  <si>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</si>
  <si>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</si>
  <si>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</si>
  <si>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</si>
  <si>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</si>
  <si>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</si>
  <si>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</si>
  <si>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</si>
  <si>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</si>
  <si>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</si>
  <si>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</si>
  <si>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</si>
  <si>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</si>
  <si>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</si>
  <si>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</si>
  <si>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</si>
  <si>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</si>
  <si>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</si>
  <si>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</si>
  <si>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</si>
  <si>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</si>
  <si>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</si>
  <si>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</si>
  <si>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</si>
  <si>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</si>
  <si>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</si>
  <si>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</si>
  <si>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</si>
  <si>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</si>
  <si>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</si>
  <si>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</si>
  <si>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</si>
  <si>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</si>
  <si>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</si>
  <si>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</si>
  <si>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</si>
  <si>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</si>
  <si>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</si>
  <si>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</si>
  <si>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</si>
  <si>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</si>
  <si>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</si>
  <si>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</si>
  <si>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</si>
  <si>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</si>
  <si>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</si>
  <si>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</si>
  <si>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</si>
  <si>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</si>
  <si>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</si>
  <si>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</si>
  <si>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</si>
  <si>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</si>
  <si>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</si>
  <si>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</si>
  <si>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</si>
  <si>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</si>
  <si>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</si>
  <si>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</si>
  <si>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</si>
  <si>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</si>
  <si>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</si>
  <si>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</si>
  <si>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</si>
  <si>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</si>
  <si>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</si>
  <si>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</si>
  <si>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</si>
  <si>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</si>
  <si>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</si>
  <si>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</si>
  <si>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</si>
  <si>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</si>
  <si>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</si>
  <si>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</si>
  <si>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</si>
  <si>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</si>
  <si>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</si>
  <si>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</si>
  <si>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</si>
  <si>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</si>
  <si>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</si>
  <si>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</si>
  <si>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</si>
  <si>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</si>
  <si>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</si>
  <si>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</si>
  <si>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</si>
  <si>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</si>
  <si>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</si>
  <si>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</si>
  <si>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</si>
  <si>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</si>
  <si>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</si>
  <si>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</si>
  <si>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</si>
  <si>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</si>
  <si>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</si>
  <si>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</si>
  <si>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</si>
  <si>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</si>
  <si>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</si>
  <si>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</si>
  <si>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</si>
  <si>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</si>
  <si>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</si>
  <si>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</si>
  <si>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</si>
  <si>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</si>
  <si>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</si>
  <si>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</si>
  <si>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</si>
  <si>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</si>
  <si>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</si>
  <si>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</si>
  <si>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</si>
  <si>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</si>
  <si>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</si>
  <si>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</si>
  <si>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</si>
  <si>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</si>
  <si>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</si>
  <si>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</si>
  <si>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</si>
  <si>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</si>
  <si>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</si>
  <si>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</si>
  <si>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</si>
  <si>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</si>
  <si>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</si>
  <si>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</si>
  <si>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</si>
  <si>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</si>
  <si>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</si>
  <si>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</si>
  <si>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</si>
  <si>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</si>
  <si>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</si>
  <si>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</si>
  <si>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</si>
  <si>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</si>
  <si>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</si>
  <si>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</si>
  <si>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</si>
  <si>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</si>
  <si>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</si>
  <si>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</si>
  <si>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</si>
  <si>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</si>
  <si>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</si>
  <si>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</si>
  <si>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</si>
  <si>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</si>
  <si>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</si>
  <si>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</si>
  <si>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</si>
  <si>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</si>
  <si>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</si>
  <si>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</si>
  <si>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</si>
  <si>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</si>
  <si>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</si>
  <si>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</si>
  <si>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</si>
  <si>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</si>
  <si>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</si>
  <si>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</si>
  <si>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</si>
  <si>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</si>
  <si>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</si>
  <si>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</si>
  <si>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</si>
  <si>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</si>
  <si>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</si>
  <si>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</si>
  <si>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</si>
  <si>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</si>
  <si>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</si>
  <si>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</si>
  <si>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</si>
  <si>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</si>
  <si>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</si>
  <si>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</si>
  <si>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</si>
  <si>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</si>
  <si>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</si>
  <si>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</si>
  <si>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</si>
  <si>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</si>
  <si>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</si>
  <si>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</si>
  <si>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</si>
  <si>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</si>
  <si>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</si>
  <si>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</si>
  <si>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</si>
  <si>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</si>
  <si>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</si>
  <si>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</si>
  <si>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</si>
  <si>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</si>
  <si>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</si>
  <si>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</si>
  <si>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</si>
  <si>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</si>
  <si>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</si>
  <si>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</si>
  <si>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</si>
  <si>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</si>
  <si>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</si>
  <si>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</si>
  <si>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</si>
  <si>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</si>
  <si>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</si>
  <si>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</si>
  <si>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</si>
  <si>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</si>
  <si>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</si>
  <si>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</si>
  <si>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</si>
  <si>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</si>
  <si>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</si>
  <si>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</si>
  <si>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</si>
  <si>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</si>
  <si>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</si>
  <si>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</si>
  <si>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</si>
  <si>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</si>
  <si>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</si>
  <si>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</si>
  <si>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</si>
  <si>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</si>
  <si>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</si>
  <si>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</si>
  <si>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</si>
  <si>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</si>
  <si>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</si>
  <si>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</si>
  <si>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</si>
  <si>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</si>
  <si>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</si>
  <si>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</si>
  <si>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</si>
  <si>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</si>
  <si>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</si>
  <si>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</si>
  <si>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</si>
  <si>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</si>
  <si>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</si>
  <si>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</si>
  <si>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</si>
  <si>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</si>
  <si>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</si>
  <si>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</si>
  <si>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</si>
  <si>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</si>
  <si>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</si>
  <si>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</si>
  <si>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</si>
  <si>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</si>
  <si>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</si>
  <si>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</si>
  <si>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</si>
  <si>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</si>
  <si>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</si>
  <si>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</si>
  <si>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</si>
  <si>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</si>
  <si>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</si>
  <si>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</si>
  <si>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</si>
  <si>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</si>
  <si>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</si>
  <si>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</si>
  <si>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</si>
  <si>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</si>
  <si>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</si>
  <si>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</si>
  <si>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</si>
  <si>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</si>
  <si>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</si>
  <si>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</si>
  <si>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</si>
  <si>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</si>
  <si>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</si>
  <si>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</si>
  <si>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</si>
  <si>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</si>
  <si>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</si>
  <si>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</si>
  <si>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</si>
  <si>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</si>
  <si>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</si>
  <si>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</si>
  <si>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</si>
  <si>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</si>
  <si>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</si>
  <si>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</si>
  <si>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</si>
  <si>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</si>
  <si>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</si>
  <si>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</si>
  <si>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</si>
  <si>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</si>
  <si>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</si>
  <si>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</si>
  <si>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</si>
  <si>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</si>
  <si>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</si>
  <si>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</si>
  <si>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</si>
  <si>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</si>
  <si>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</si>
  <si>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</si>
  <si>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</si>
  <si>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</si>
  <si>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</si>
  <si>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</si>
  <si>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</si>
  <si>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</si>
  <si>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</si>
  <si>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</si>
  <si>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</si>
  <si>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</si>
  <si>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</si>
  <si>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</si>
  <si>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</si>
  <si>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</si>
  <si>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</si>
  <si>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</si>
  <si>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</si>
  <si>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</si>
  <si>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</si>
  <si>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</si>
  <si>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</si>
  <si>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</si>
  <si>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</si>
  <si>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</si>
  <si>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</si>
  <si>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</si>
  <si>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</si>
  <si>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</si>
  <si>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</si>
  <si>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</si>
  <si>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</si>
  <si>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</si>
  <si>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</si>
  <si>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</si>
  <si>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</si>
  <si>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</si>
  <si>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</si>
  <si>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</si>
  <si>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</si>
  <si>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</si>
  <si>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</si>
  <si>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</si>
  <si>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</si>
  <si>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</si>
  <si>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</si>
  <si>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</si>
  <si>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</si>
  <si>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</si>
  <si>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</si>
  <si>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</si>
  <si>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</si>
  <si>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</si>
  <si>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</si>
  <si>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</si>
  <si>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</si>
  <si>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</si>
  <si>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</si>
  <si>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</si>
  <si>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</si>
  <si>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</si>
  <si>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</si>
  <si>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</si>
  <si>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</si>
  <si>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</si>
  <si>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</si>
  <si>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</si>
  <si>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</si>
  <si>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</si>
  <si>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</si>
  <si>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</si>
  <si>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</si>
  <si>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</si>
  <si>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</si>
  <si>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</si>
  <si>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</si>
  <si>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</si>
  <si>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</si>
  <si>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</si>
  <si>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</si>
  <si>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</si>
  <si>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</si>
  <si>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</si>
  <si>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</si>
  <si>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</si>
  <si>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</si>
  <si>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</si>
  <si>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</si>
  <si>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</si>
  <si>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</si>
  <si>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</si>
  <si>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</si>
  <si>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</si>
  <si>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</si>
  <si>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</si>
  <si>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</si>
  <si>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</si>
  <si>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</si>
  <si>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</si>
  <si>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</si>
  <si>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</si>
  <si>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</si>
  <si>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</si>
  <si>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</si>
  <si>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</si>
  <si>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</si>
  <si>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</si>
  <si>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</si>
  <si>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</si>
  <si>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</si>
  <si>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</si>
  <si>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</si>
  <si>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</si>
  <si>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</si>
  <si>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</si>
  <si>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</si>
  <si>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</si>
  <si>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</si>
  <si>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</si>
  <si>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</si>
  <si>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</si>
  <si>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</si>
  <si>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</si>
  <si>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</si>
  <si>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</si>
  <si>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</si>
  <si>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</si>
  <si>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</si>
  <si>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</si>
  <si>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</si>
  <si>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</si>
  <si>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</si>
  <si>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</si>
  <si>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</si>
  <si>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</si>
  <si>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</si>
  <si>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</si>
  <si>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</si>
  <si>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</si>
  <si>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</si>
  <si>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</si>
  <si>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</si>
  <si>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</si>
  <si>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</si>
  <si>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</si>
  <si>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</si>
  <si>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</si>
  <si>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</si>
  <si>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</si>
  <si>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</si>
  <si>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</si>
  <si>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</si>
  <si>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</si>
  <si>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</si>
  <si>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</si>
  <si>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</si>
  <si>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</si>
  <si>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</si>
  <si>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</si>
  <si>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</si>
  <si>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</si>
  <si>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</si>
  <si>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</si>
  <si>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</si>
  <si>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</si>
  <si>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</si>
  <si>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</si>
  <si>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</si>
  <si>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</si>
  <si>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</si>
  <si>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</si>
  <si>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</si>
  <si>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</si>
  <si>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</si>
  <si>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</si>
  <si>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</si>
  <si>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</si>
  <si>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</si>
  <si>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</si>
  <si>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</si>
  <si>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</si>
  <si>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</si>
  <si>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</si>
  <si>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</si>
  <si>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</si>
  <si>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</si>
  <si>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</si>
  <si>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</si>
  <si>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</si>
  <si>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</si>
  <si>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</si>
  <si>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</si>
  <si>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</si>
  <si>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</si>
  <si>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</si>
  <si>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</si>
  <si>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</si>
  <si>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</si>
  <si>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</si>
  <si>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</si>
  <si>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</si>
  <si>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</si>
  <si>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</si>
  <si>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</si>
  <si>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</si>
  <si>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</si>
  <si>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</si>
  <si>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</si>
  <si>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</si>
  <si>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</si>
  <si>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</si>
  <si>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</si>
  <si>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</si>
  <si>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</si>
  <si>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</si>
  <si>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</si>
  <si>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</si>
  <si>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</si>
  <si>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</si>
  <si>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</si>
  <si>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</si>
  <si>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</si>
  <si>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</si>
  <si>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</si>
  <si>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</si>
  <si>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</si>
  <si>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</si>
  <si>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</si>
  <si>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</si>
  <si>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</si>
  <si>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</si>
  <si>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</si>
  <si>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</si>
  <si>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</si>
  <si>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</si>
  <si>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</si>
  <si>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</si>
  <si>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</si>
  <si>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</si>
  <si>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</si>
  <si>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</si>
  <si>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</si>
  <si>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</si>
  <si>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</si>
  <si>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</si>
  <si>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</si>
  <si>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</si>
  <si>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</si>
  <si>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</si>
  <si>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</si>
  <si>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</si>
  <si>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</si>
  <si>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</si>
  <si>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</si>
  <si>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</si>
  <si>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</si>
  <si>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</si>
  <si>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</si>
  <si>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</si>
  <si>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</si>
  <si>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</si>
  <si>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</si>
  <si>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</si>
  <si>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</si>
  <si>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</si>
  <si>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</si>
  <si>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</si>
  <si>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</si>
  <si>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</si>
  <si>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</si>
  <si>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</si>
  <si>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</si>
  <si>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</si>
  <si>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</si>
  <si>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</si>
  <si>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</si>
  <si>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</si>
  <si>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</si>
  <si>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</si>
  <si>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</si>
  <si>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</si>
  <si>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</si>
  <si>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</si>
  <si>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</si>
  <si>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</si>
  <si>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</si>
  <si>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</si>
  <si>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</si>
  <si>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</si>
  <si>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</si>
  <si>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</si>
  <si>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</si>
  <si>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</si>
  <si>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</si>
  <si>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</si>
  <si>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</si>
  <si>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</si>
  <si>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</si>
  <si>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</si>
  <si>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</si>
  <si>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</si>
  <si>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</si>
  <si>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</si>
  <si>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</si>
  <si>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</si>
  <si>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</si>
  <si>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</si>
  <si>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</si>
  <si>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</si>
  <si>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</si>
  <si>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</si>
  <si>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</si>
  <si>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</si>
  <si>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</si>
  <si>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</si>
  <si>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</si>
  <si>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</si>
  <si>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</si>
  <si>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</si>
  <si>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</si>
  <si>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</si>
  <si>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</si>
  <si>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</si>
  <si>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</si>
  <si>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</si>
  <si>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</si>
  <si>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</si>
  <si>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</si>
  <si>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</si>
  <si>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</si>
  <si>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</si>
  <si>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</si>
  <si>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</si>
  <si>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</si>
  <si>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</si>
  <si>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</si>
  <si>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</si>
  <si>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</si>
  <si>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</si>
  <si>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</si>
  <si>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</si>
  <si>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</si>
  <si>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</si>
  <si>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</si>
  <si>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</si>
  <si>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</si>
  <si>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</si>
  <si>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</si>
  <si>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</si>
  <si>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</si>
  <si>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</si>
  <si>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</si>
  <si>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</si>
  <si>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</si>
  <si>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</si>
  <si>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</si>
  <si>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</si>
  <si>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</si>
  <si>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</si>
  <si>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</si>
  <si>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</si>
  <si>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</si>
  <si>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</si>
  <si>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</si>
  <si>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</si>
  <si>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</si>
  <si>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</si>
  <si>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</si>
  <si>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</si>
  <si>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</si>
  <si>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</si>
  <si>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</si>
  <si>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</si>
  <si>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</si>
  <si>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</si>
  <si>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</si>
  <si>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</si>
  <si>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</si>
  <si>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</si>
  <si>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</si>
  <si>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</si>
  <si>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</si>
  <si>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</si>
  <si>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</si>
  <si>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</si>
  <si>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</si>
  <si>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</si>
  <si>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</si>
  <si>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</si>
  <si>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</si>
  <si>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</si>
  <si>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</si>
  <si>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</si>
  <si>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</si>
  <si>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</si>
  <si>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</si>
  <si>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</si>
  <si>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</si>
  <si>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</si>
  <si>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</si>
  <si>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</si>
  <si>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</si>
  <si>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</si>
  <si>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</si>
  <si>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</si>
  <si>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</si>
  <si>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</si>
  <si>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</si>
  <si>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</si>
  <si>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</si>
  <si>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</si>
  <si>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</si>
  <si>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</si>
  <si>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</si>
  <si>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</si>
  <si>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</si>
  <si>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</si>
  <si>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</si>
  <si>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</si>
  <si>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</si>
  <si>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</si>
  <si>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</si>
  <si>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</si>
  <si>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</si>
  <si>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</si>
  <si>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</si>
  <si>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</si>
  <si>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</si>
  <si>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</si>
  <si>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</si>
  <si>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</si>
  <si>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</si>
  <si>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</si>
  <si>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</si>
  <si>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</si>
  <si>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</si>
  <si>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</si>
  <si>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</si>
  <si>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</si>
  <si>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</si>
  <si>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</si>
  <si>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</si>
  <si>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</si>
  <si>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</si>
  <si>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</si>
  <si>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</si>
  <si>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</si>
  <si>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</si>
  <si>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</si>
  <si>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</si>
  <si>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</si>
  <si>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</si>
  <si>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</si>
  <si>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</si>
  <si>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</si>
  <si>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</si>
  <si>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</si>
  <si>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</si>
  <si>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</si>
  <si>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</si>
  <si>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</si>
  <si>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</si>
  <si>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</si>
  <si>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</si>
  <si>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</si>
  <si>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</si>
  <si>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</si>
  <si>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</si>
  <si>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</si>
  <si>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</si>
  <si>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</si>
  <si>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</si>
  <si>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</si>
  <si>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</si>
  <si>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</si>
  <si>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</si>
  <si>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</si>
  <si>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</si>
  <si>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</si>
  <si>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</si>
  <si>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</si>
  <si>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</si>
  <si>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</si>
  <si>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</si>
  <si>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</si>
  <si>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</si>
  <si>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</si>
  <si>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</si>
  <si>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</si>
  <si>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</si>
  <si>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</si>
  <si>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</si>
  <si>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</si>
  <si>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</si>
  <si>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</si>
  <si>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</si>
  <si>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</si>
  <si>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</si>
  <si>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</si>
  <si>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</si>
  <si>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</si>
  <si>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</si>
  <si>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</si>
  <si>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</si>
  <si>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</si>
  <si>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</si>
  <si>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</si>
  <si>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</si>
  <si>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</si>
  <si>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</si>
  <si>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</si>
  <si>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</si>
  <si>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</si>
  <si>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</si>
  <si>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</si>
  <si>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</si>
  <si>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</si>
  <si>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</si>
  <si>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</si>
  <si>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</si>
  <si>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</si>
  <si>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</si>
  <si>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</si>
  <si>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</si>
  <si>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</si>
  <si>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</si>
  <si>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</si>
  <si>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</si>
  <si>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</si>
  <si>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</si>
  <si>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</si>
  <si>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</si>
  <si>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</si>
  <si>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</si>
  <si>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</si>
  <si>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</si>
  <si>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</si>
  <si>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</si>
  <si>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</si>
  <si>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</si>
  <si>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</si>
  <si>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</si>
  <si>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</si>
  <si>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</si>
  <si>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</si>
  <si>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</si>
  <si>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</si>
  <si>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</si>
  <si>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</si>
  <si>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</si>
  <si>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</si>
  <si>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</si>
  <si>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</si>
  <si>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</si>
  <si>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</si>
  <si>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</si>
  <si>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</si>
  <si>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</si>
  <si>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</si>
  <si>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</si>
  <si>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</si>
  <si>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</si>
  <si>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</si>
  <si>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</si>
  <si>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</si>
  <si>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</si>
  <si>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</si>
  <si>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</si>
  <si>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</si>
  <si>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</si>
  <si>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</si>
  <si>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</si>
  <si>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</si>
  <si>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</si>
  <si>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</si>
  <si>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</si>
  <si>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</si>
  <si>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</si>
  <si>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</si>
  <si>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</si>
  <si>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</si>
  <si>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</si>
  <si>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</si>
  <si>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</si>
  <si>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</si>
  <si>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</si>
  <si>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</si>
  <si>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</si>
  <si>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</si>
  <si>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</si>
  <si>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</si>
  <si>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</si>
  <si>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</si>
  <si>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</si>
  <si>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</si>
  <si>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</si>
  <si>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</si>
  <si>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</si>
  <si>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</si>
  <si>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</si>
  <si>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</si>
  <si>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</si>
  <si>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</si>
  <si>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</si>
  <si>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</si>
  <si>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</si>
  <si>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</si>
  <si>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</si>
  <si>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</si>
  <si>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</si>
  <si>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</si>
  <si>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</si>
  <si>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</si>
  <si>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</si>
  <si>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</si>
  <si>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</si>
  <si>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</si>
  <si>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</si>
  <si>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</si>
  <si>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</si>
  <si>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</si>
  <si>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</si>
  <si>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</si>
  <si>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</si>
  <si>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</si>
  <si>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</si>
  <si>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</si>
  <si>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</si>
  <si>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</si>
  <si>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</si>
  <si>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</si>
  <si>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</si>
  <si>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</si>
  <si>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</si>
  <si>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</si>
  <si>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</si>
  <si>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</si>
  <si>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</si>
  <si>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</si>
  <si>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</si>
  <si>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</si>
  <si>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</si>
  <si>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</si>
  <si>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</si>
  <si>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</si>
  <si>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</si>
  <si>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</si>
  <si>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</si>
  <si>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</si>
  <si>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</si>
  <si>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</si>
  <si>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</si>
  <si>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</si>
  <si>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</si>
  <si>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</si>
  <si>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</si>
  <si>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</si>
  <si>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</si>
  <si>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</si>
  <si>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</si>
  <si>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</si>
  <si>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</si>
  <si>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</si>
  <si>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</si>
  <si>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</si>
  <si>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</si>
  <si>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</si>
  <si>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</si>
  <si>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</si>
  <si>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</si>
  <si>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</si>
  <si>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</si>
  <si>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</si>
  <si>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</si>
  <si>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</si>
  <si>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</si>
  <si>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</si>
  <si>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</si>
  <si>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</si>
  <si>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</si>
  <si>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</si>
  <si>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</si>
  <si>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</si>
  <si>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</si>
  <si>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</si>
  <si>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</si>
  <si>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</si>
  <si>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</si>
  <si>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</si>
  <si>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</si>
  <si>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</si>
  <si>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</si>
  <si>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</si>
  <si>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</si>
  <si>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</si>
  <si>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</si>
  <si>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</si>
  <si>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</si>
  <si>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</si>
  <si>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</si>
  <si>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</si>
  <si>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</si>
  <si>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</si>
  <si>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</si>
  <si>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</si>
  <si>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</si>
  <si>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</si>
  <si>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</si>
  <si>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</si>
  <si>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</si>
  <si>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</si>
  <si>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</si>
  <si>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</si>
  <si>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</si>
  <si>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</si>
  <si>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</si>
  <si>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</si>
  <si>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</si>
  <si>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</si>
  <si>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</si>
  <si>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</si>
  <si>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</si>
  <si>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</si>
  <si>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</si>
  <si>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</si>
  <si>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</si>
  <si>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</si>
  <si>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</si>
  <si>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</si>
  <si>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</si>
  <si>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</si>
  <si>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</si>
  <si>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</si>
  <si>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</si>
  <si>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</si>
  <si>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</si>
  <si>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</si>
  <si>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</si>
  <si>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</si>
  <si>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</si>
  <si>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</si>
  <si>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</si>
  <si>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</si>
  <si>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</si>
  <si>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</si>
  <si>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</si>
  <si>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</si>
  <si>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</si>
  <si>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</si>
  <si>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</si>
  <si>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</si>
  <si>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</si>
  <si>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</si>
  <si>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</si>
  <si>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</si>
  <si>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</si>
  <si>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</si>
  <si>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</si>
  <si>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</si>
  <si>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</si>
  <si>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</si>
  <si>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</si>
  <si>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</si>
  <si>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</si>
  <si>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</si>
  <si>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</si>
  <si>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</si>
  <si>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</si>
  <si>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</si>
  <si>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</si>
  <si>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</si>
  <si>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</si>
  <si>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</si>
  <si>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</si>
  <si>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</si>
  <si>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</si>
  <si>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</si>
  <si>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</si>
  <si>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</si>
  <si>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</si>
  <si>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</si>
  <si>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</si>
  <si>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</si>
  <si>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</si>
  <si>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</si>
  <si>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</si>
  <si>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</si>
  <si>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</si>
  <si>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</si>
  <si>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</si>
  <si>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</si>
  <si>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</si>
  <si>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</si>
  <si>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</si>
  <si>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</si>
  <si>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</si>
  <si>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</si>
  <si>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</si>
  <si>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</si>
  <si>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</si>
  <si>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</si>
  <si>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</si>
  <si>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</si>
  <si>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</si>
  <si>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</si>
  <si>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</si>
  <si>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</si>
  <si>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</si>
  <si>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</si>
  <si>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</si>
  <si>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</si>
  <si>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</si>
  <si>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</si>
  <si>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</si>
  <si>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</si>
  <si>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</si>
  <si>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</si>
  <si>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</si>
  <si>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</si>
  <si>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</si>
  <si>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</si>
  <si>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</si>
  <si>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</si>
  <si>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</si>
  <si>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</si>
  <si>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</si>
  <si>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</si>
  <si>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</si>
  <si>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</si>
  <si>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</si>
  <si>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</si>
  <si>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</si>
  <si>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</si>
  <si>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</si>
  <si>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</si>
  <si>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</si>
  <si>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</si>
  <si>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</si>
  <si>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</si>
  <si>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</si>
  <si>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</si>
  <si>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</si>
  <si>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</si>
  <si>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</si>
  <si>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</si>
  <si>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</si>
  <si>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</si>
  <si>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</si>
  <si>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</si>
  <si>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</si>
  <si>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</si>
  <si>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</si>
  <si>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</si>
  <si>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</si>
  <si>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</si>
  <si>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</si>
  <si>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</si>
  <si>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</si>
  <si>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</si>
  <si>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</si>
  <si>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</si>
  <si>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</si>
  <si>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</si>
  <si>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</si>
  <si>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</si>
  <si>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</si>
  <si>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</si>
  <si>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</si>
  <si>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</si>
  <si>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</si>
  <si>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</si>
  <si>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</si>
  <si>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</si>
  <si>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</si>
  <si>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</si>
  <si>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</si>
  <si>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</si>
  <si>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</si>
  <si>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</si>
  <si>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</si>
  <si>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</si>
  <si>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</si>
  <si>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</si>
  <si>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</si>
  <si>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</si>
  <si>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</si>
  <si>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</si>
  <si>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</si>
  <si>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</si>
  <si>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</si>
  <si>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</si>
  <si>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</si>
  <si>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</si>
  <si>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</si>
  <si>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</si>
  <si>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</si>
  <si>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</si>
  <si>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</si>
  <si>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</si>
  <si>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</si>
  <si>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</si>
  <si>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</si>
  <si>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</si>
  <si>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</si>
  <si>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</si>
  <si>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</si>
  <si>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</si>
  <si>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</si>
  <si>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</si>
  <si>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</si>
  <si>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</si>
  <si>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</si>
  <si>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</si>
  <si>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</si>
  <si>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</si>
  <si>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</si>
  <si>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</si>
  <si>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</si>
  <si>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</si>
  <si>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</si>
  <si>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</si>
  <si>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</si>
  <si>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</si>
  <si>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</si>
  <si>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</si>
  <si>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</si>
  <si>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</si>
  <si>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</si>
  <si>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</si>
  <si>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</si>
  <si>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</si>
  <si>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</si>
  <si>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</si>
  <si>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</si>
  <si>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</si>
  <si>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</si>
  <si>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</si>
  <si>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</si>
  <si>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</si>
  <si>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</si>
  <si>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</si>
  <si>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</si>
  <si>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</si>
  <si>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</si>
  <si>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</si>
  <si>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</si>
  <si>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</si>
  <si>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</si>
  <si>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</si>
  <si>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</si>
  <si>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</si>
  <si>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</si>
  <si>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</si>
  <si>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</si>
  <si>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</si>
  <si>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</si>
  <si>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</si>
  <si>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</si>
  <si>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</si>
  <si>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</si>
  <si>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</si>
  <si>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</si>
  <si>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</si>
  <si>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</si>
  <si>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</si>
  <si>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</si>
  <si>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</si>
  <si>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</si>
  <si>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</si>
  <si>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</si>
  <si>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</si>
  <si>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</si>
  <si>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</si>
  <si>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</si>
  <si>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</si>
  <si>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</si>
  <si>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</si>
  <si>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</si>
  <si>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</si>
  <si>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</si>
  <si>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</si>
  <si>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</si>
  <si>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</si>
  <si>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</si>
  <si>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</si>
  <si>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</si>
  <si>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</si>
  <si>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</si>
  <si>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</si>
  <si>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</si>
  <si>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</si>
  <si>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</si>
  <si>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</si>
  <si>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</si>
  <si>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</si>
  <si>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</si>
  <si>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</si>
  <si>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</si>
  <si>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</si>
  <si>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</si>
  <si>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</si>
  <si>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</si>
  <si>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</si>
  <si>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</si>
  <si>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</si>
  <si>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</si>
  <si>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</si>
  <si>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</si>
  <si>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</si>
  <si>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</si>
  <si>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</si>
  <si>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</si>
  <si>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</si>
  <si>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</si>
  <si>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</si>
  <si>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</si>
  <si>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</si>
  <si>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</si>
  <si>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</si>
  <si>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</si>
  <si>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</si>
  <si>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</si>
  <si>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</si>
  <si>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</si>
  <si>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</si>
  <si>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</si>
  <si>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</si>
  <si>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</si>
  <si>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</si>
  <si>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</si>
  <si>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</si>
  <si>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</si>
  <si>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</si>
  <si>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</si>
  <si>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</si>
  <si>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</si>
  <si>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</si>
  <si>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</si>
  <si>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</si>
  <si>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</si>
  <si>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</si>
  <si>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</si>
  <si>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</si>
  <si>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</si>
  <si>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</si>
  <si>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</si>
  <si>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</si>
  <si>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</si>
  <si>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</si>
  <si>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</si>
  <si>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</si>
  <si>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</si>
  <si>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</si>
  <si>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</si>
  <si>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</si>
  <si>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</si>
  <si>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</si>
  <si>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</si>
  <si>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</si>
  <si>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</si>
  <si>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</si>
  <si>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</si>
  <si>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</si>
  <si>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</si>
  <si>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</si>
  <si>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</si>
  <si>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</si>
  <si>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</si>
  <si>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</si>
  <si>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</si>
  <si>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</si>
  <si>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</si>
  <si>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</si>
  <si>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</si>
  <si>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</si>
  <si>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</si>
  <si>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</si>
  <si>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</si>
  <si>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</si>
  <si>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</si>
  <si>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</si>
  <si>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</si>
  <si>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</si>
  <si>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</si>
  <si>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</si>
  <si>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</si>
  <si>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</si>
  <si>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</si>
  <si>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</si>
  <si>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</si>
  <si>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</si>
  <si>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</si>
  <si>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</si>
  <si>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</si>
  <si>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</si>
  <si>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</si>
  <si>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</si>
  <si>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</si>
  <si>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</si>
  <si>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</si>
  <si>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</si>
  <si>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</si>
  <si>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</si>
  <si>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</si>
  <si>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</si>
  <si>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</si>
  <si>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</si>
  <si>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</si>
  <si>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</si>
  <si>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</si>
  <si>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</si>
  <si>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</si>
  <si>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</si>
  <si>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</si>
  <si>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</si>
  <si>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</si>
  <si>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</si>
  <si>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</si>
  <si>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</si>
  <si>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</si>
  <si>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</si>
  <si>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</si>
  <si>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</si>
  <si>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</si>
  <si>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</si>
  <si>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</si>
  <si>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</si>
  <si>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</si>
  <si>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</si>
  <si>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</si>
  <si>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</si>
  <si>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</si>
  <si>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</si>
  <si>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</si>
  <si>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</si>
  <si>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</si>
  <si>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</si>
  <si>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</si>
  <si>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</si>
  <si>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</si>
  <si>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</si>
  <si>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</si>
  <si>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</si>
  <si>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</si>
  <si>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</si>
  <si>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</si>
  <si>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</si>
  <si>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</si>
  <si>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</si>
  <si>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</si>
  <si>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</si>
  <si>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</si>
  <si>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</si>
  <si>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</si>
  <si>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</si>
  <si>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</si>
  <si>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</si>
  <si>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</si>
  <si>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</si>
  <si>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</si>
  <si>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</si>
  <si>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</si>
  <si>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</si>
  <si>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</si>
  <si>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</si>
  <si>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</si>
  <si>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</si>
  <si>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</si>
  <si>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</si>
  <si>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</si>
  <si>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</si>
  <si>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</si>
  <si>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</si>
  <si>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</si>
  <si>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</si>
  <si>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</si>
  <si>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</si>
  <si>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</si>
  <si>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</si>
  <si>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</si>
  <si>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</si>
  <si>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</si>
  <si>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</si>
  <si>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</si>
  <si>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</si>
  <si>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</si>
  <si>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</si>
  <si>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</si>
  <si>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</si>
  <si>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</si>
  <si>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</si>
  <si>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</si>
  <si>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</si>
  <si>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</si>
  <si>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</si>
  <si>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</si>
  <si>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</si>
  <si>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</si>
  <si>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</si>
  <si>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</si>
  <si>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</si>
  <si>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</si>
  <si>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</si>
  <si>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</si>
  <si>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</si>
  <si>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</si>
  <si>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</si>
  <si>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</si>
  <si>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</si>
  <si>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</si>
  <si>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</si>
  <si>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</si>
  <si>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</si>
  <si>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</si>
  <si>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</si>
  <si>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</si>
  <si>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</si>
  <si>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</si>
  <si>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</si>
  <si>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</si>
  <si>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</si>
  <si>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</si>
  <si>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</si>
  <si>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</si>
  <si>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</si>
  <si>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</si>
  <si>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</si>
  <si>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</si>
  <si>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</si>
  <si>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</si>
  <si>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</si>
  <si>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</si>
  <si>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</si>
  <si>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</si>
  <si>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</si>
  <si>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</si>
  <si>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</si>
  <si>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</si>
  <si>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</si>
  <si>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</si>
  <si>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</si>
  <si>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</si>
  <si>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</si>
  <si>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</si>
  <si>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</si>
  <si>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</si>
  <si>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</si>
  <si>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</si>
  <si>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</si>
  <si>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</si>
  <si>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</si>
  <si>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</si>
  <si>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</si>
  <si>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</si>
  <si>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</si>
  <si>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</si>
  <si>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</si>
  <si>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</si>
  <si>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</si>
  <si>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</si>
  <si>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</si>
  <si>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</si>
  <si>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</si>
  <si>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</si>
  <si>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</si>
  <si>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</si>
  <si>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</si>
  <si>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</si>
  <si>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</si>
  <si>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</si>
  <si>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</si>
  <si>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</si>
  <si>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</si>
  <si>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</si>
  <si>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</si>
  <si>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</si>
  <si>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</si>
  <si>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</si>
  <si>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</si>
  <si>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</si>
  <si>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</si>
  <si>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</si>
  <si>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</si>
  <si>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</si>
  <si>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</si>
  <si>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</si>
  <si>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</si>
  <si>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</si>
  <si>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</si>
  <si>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</si>
  <si>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</si>
  <si>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</si>
  <si>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</si>
  <si>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</si>
  <si>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</si>
  <si>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</si>
  <si>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</si>
  <si>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</si>
  <si>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</si>
  <si>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</si>
  <si>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</si>
  <si>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</si>
  <si>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</si>
  <si>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</si>
  <si>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</si>
  <si>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</si>
  <si>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</si>
  <si>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</si>
  <si>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</si>
  <si>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</si>
  <si>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</si>
  <si>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</si>
  <si>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</si>
  <si>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</si>
  <si>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</si>
  <si>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</si>
  <si>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</si>
  <si>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</si>
  <si>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</si>
  <si>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</si>
  <si>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</si>
  <si>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</si>
  <si>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</si>
  <si>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</si>
  <si>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</si>
  <si>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</si>
  <si>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</si>
  <si>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</si>
  <si>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</si>
  <si>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</si>
  <si>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</si>
  <si>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</si>
  <si>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</si>
  <si>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</si>
  <si>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</si>
  <si>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</si>
  <si>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</si>
  <si>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</si>
  <si>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</si>
  <si>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</si>
  <si>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</si>
  <si>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</si>
  <si>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</si>
  <si>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</si>
  <si>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</si>
  <si>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</si>
  <si>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</si>
  <si>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</si>
  <si>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</si>
  <si>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</si>
  <si>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</si>
  <si>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</si>
  <si>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</si>
  <si>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</si>
  <si>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</si>
  <si>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</si>
  <si>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</si>
  <si>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</si>
  <si>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</si>
  <si>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</si>
  <si>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</si>
  <si>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</si>
  <si>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</si>
  <si>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</si>
  <si>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</si>
  <si>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</si>
  <si>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</si>
  <si>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</si>
  <si>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</si>
  <si>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</si>
  <si>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</si>
  <si>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</si>
  <si>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</si>
  <si>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</si>
  <si>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</si>
  <si>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</si>
  <si>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</si>
  <si>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</si>
  <si>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</si>
  <si>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</si>
  <si>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</si>
  <si>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</si>
  <si>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</si>
  <si>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</si>
  <si>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</si>
  <si>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</si>
  <si>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</si>
  <si>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</si>
  <si>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</si>
  <si>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</si>
  <si>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</si>
  <si>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</si>
  <si>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</si>
  <si>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</si>
  <si>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</si>
  <si>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</si>
  <si>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</si>
  <si>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</si>
  <si>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</si>
  <si>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</si>
  <si>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</si>
  <si>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</si>
  <si>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</si>
  <si>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</si>
  <si>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</si>
  <si>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</si>
  <si>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</si>
  <si>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</si>
  <si>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</si>
  <si>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</si>
  <si>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</si>
  <si>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</si>
  <si>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</si>
  <si>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</si>
  <si>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</si>
  <si>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</si>
  <si>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</si>
  <si>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</si>
  <si>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</si>
  <si>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</si>
  <si>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</si>
  <si>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</si>
  <si>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</si>
  <si>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</si>
  <si>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</si>
  <si>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</si>
  <si>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</si>
  <si>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</si>
  <si>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</si>
  <si>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</si>
  <si>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</si>
  <si>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</si>
  <si>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</si>
  <si>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</si>
  <si>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</si>
  <si>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</si>
  <si>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</si>
  <si>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</si>
  <si>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</si>
  <si>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</si>
  <si>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</si>
  <si>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</si>
  <si>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</si>
  <si>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</si>
  <si>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</si>
  <si>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</si>
  <si>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</si>
  <si>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</si>
  <si>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</si>
  <si>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</si>
  <si>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</si>
  <si>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</si>
  <si>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</si>
  <si>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</si>
  <si>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</si>
  <si>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</si>
  <si>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</si>
  <si>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</si>
  <si>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</si>
  <si>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</si>
  <si>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</si>
  <si>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</si>
  <si>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</si>
  <si>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</si>
  <si>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</si>
  <si>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</si>
  <si>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</si>
  <si>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</si>
  <si>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</si>
  <si>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</si>
  <si>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</si>
  <si>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</si>
  <si>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</si>
  <si>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</si>
  <si>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</si>
  <si>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</si>
  <si>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</si>
  <si>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</si>
  <si>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</si>
  <si>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</si>
  <si>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</si>
  <si>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</si>
  <si>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</si>
  <si>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</si>
  <si>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</si>
  <si>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</si>
  <si>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</si>
  <si>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</si>
  <si>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</si>
  <si>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</si>
  <si>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</si>
  <si>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</si>
  <si>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</si>
  <si>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</si>
  <si>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</si>
  <si>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</si>
  <si>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</si>
  <si>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</si>
  <si>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</si>
  <si>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</si>
  <si>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</si>
  <si>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</si>
  <si>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</si>
  <si>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</si>
  <si>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</si>
  <si>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</si>
  <si>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</si>
  <si>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</si>
  <si>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</si>
  <si>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</si>
  <si>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</si>
  <si>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</si>
  <si>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</si>
  <si>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</si>
  <si>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</si>
  <si>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</si>
  <si>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</si>
  <si>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</si>
  <si>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</si>
  <si>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</si>
  <si>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</si>
  <si>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</si>
  <si>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</si>
  <si>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</si>
  <si>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</si>
  <si>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</si>
  <si>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</si>
  <si>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</si>
  <si>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</si>
  <si>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</si>
  <si>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</si>
  <si>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</si>
  <si>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</si>
  <si>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</si>
  <si>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</si>
  <si>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</si>
  <si>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</si>
  <si>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</si>
  <si>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</si>
  <si>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</si>
  <si>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</si>
  <si>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</si>
  <si>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</si>
  <si>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</si>
  <si>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</si>
  <si>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</si>
  <si>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</si>
  <si>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</si>
  <si>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</si>
  <si>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</si>
  <si>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</si>
  <si>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</si>
  <si>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</si>
  <si>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</si>
  <si>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</si>
  <si>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</si>
  <si>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</si>
  <si>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</si>
  <si>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</si>
  <si>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</si>
  <si>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</si>
  <si>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</si>
  <si>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</si>
  <si>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</si>
  <si>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</si>
  <si>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</si>
  <si>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</si>
  <si>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</si>
  <si>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</si>
  <si>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</si>
  <si>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</si>
  <si>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</si>
  <si>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</si>
  <si>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</si>
  <si>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</si>
  <si>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</si>
  <si>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</si>
  <si>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</si>
  <si>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</si>
  <si>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</si>
  <si>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</si>
  <si>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</si>
  <si>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</si>
  <si>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</si>
  <si>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</si>
  <si>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</si>
  <si>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</si>
  <si>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</si>
  <si>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</si>
  <si>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</si>
  <si>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</si>
  <si>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</si>
  <si>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</si>
  <si>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</si>
  <si>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</si>
  <si>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</si>
  <si>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</si>
  <si>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</si>
  <si>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</si>
  <si>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</si>
  <si>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</si>
  <si>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</si>
  <si>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</si>
  <si>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</si>
  <si>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</si>
  <si>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</si>
  <si>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</si>
  <si>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</si>
  <si>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</si>
  <si>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</si>
  <si>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</si>
  <si>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</si>
  <si>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</si>
  <si>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</si>
  <si>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</si>
  <si>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</si>
  <si>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</si>
  <si>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</si>
  <si>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</si>
  <si>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</si>
  <si>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</si>
  <si>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</si>
  <si>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</si>
  <si>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</si>
  <si>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</si>
  <si>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</si>
  <si>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</si>
  <si>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</si>
  <si>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</si>
  <si>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</si>
  <si>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</si>
  <si>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</si>
  <si>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</si>
  <si>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</si>
  <si>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</si>
  <si>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</si>
  <si>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</si>
  <si>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</si>
  <si>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</si>
  <si>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</si>
  <si>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</si>
  <si>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</si>
  <si>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</si>
  <si>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</si>
  <si>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</si>
  <si>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</si>
  <si>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</si>
  <si>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</si>
  <si>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</si>
  <si>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</si>
  <si>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</si>
  <si>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</si>
  <si>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</si>
  <si>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</si>
  <si>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</si>
  <si>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</si>
  <si>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</si>
  <si>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</si>
  <si>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</si>
  <si>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</si>
  <si>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</si>
  <si>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</si>
  <si>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</si>
  <si>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</si>
  <si>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</si>
  <si>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</si>
  <si>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</si>
  <si>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</si>
  <si>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</si>
  <si>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</si>
  <si>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</si>
  <si>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</si>
  <si>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</si>
  <si>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</si>
  <si>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</si>
  <si>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</si>
  <si>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</si>
  <si>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</si>
  <si>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</si>
  <si>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</si>
  <si>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</si>
  <si>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</si>
  <si>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</si>
  <si>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</si>
  <si>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</si>
  <si>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</si>
  <si>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</si>
  <si>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</si>
  <si>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</si>
  <si>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</si>
  <si>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</si>
  <si>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</si>
  <si>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</si>
  <si>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</si>
  <si>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</si>
  <si>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</si>
  <si>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</si>
  <si>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</si>
  <si>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</si>
  <si>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</si>
  <si>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</si>
  <si>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</si>
  <si>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</si>
  <si>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</si>
  <si>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</si>
  <si>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</si>
  <si>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</si>
  <si>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</si>
  <si>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</si>
  <si>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</si>
  <si>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</si>
  <si>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</si>
  <si>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</si>
  <si>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</si>
  <si>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</si>
  <si>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</si>
  <si>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</si>
  <si>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</si>
  <si>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</si>
  <si>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</si>
  <si>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</si>
  <si>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</si>
  <si>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</si>
  <si>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</si>
  <si>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</si>
  <si>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</si>
  <si>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</si>
  <si>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</si>
  <si>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</si>
  <si>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</si>
  <si>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</si>
  <si>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</si>
  <si>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</si>
  <si>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</si>
  <si>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</si>
  <si>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</si>
  <si>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</si>
  <si>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</si>
  <si>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</si>
  <si>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</si>
  <si>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</si>
  <si>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</si>
  <si>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</si>
  <si>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</si>
  <si>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</si>
  <si>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</si>
  <si>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</si>
  <si>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</si>
  <si>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</si>
  <si>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</si>
  <si>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</si>
  <si>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</si>
  <si>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</si>
  <si>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</si>
  <si>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</si>
  <si>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</si>
  <si>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</si>
  <si>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</si>
  <si>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</si>
  <si>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</si>
  <si>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</si>
  <si>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</si>
  <si>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</si>
  <si>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</si>
  <si>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</si>
  <si>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</si>
  <si>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</si>
  <si>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</si>
  <si>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</si>
  <si>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</si>
  <si>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</si>
  <si>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</si>
  <si>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</si>
  <si>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</si>
  <si>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</si>
  <si>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</si>
  <si>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</si>
  <si>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</si>
  <si>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</si>
  <si>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</si>
  <si>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</si>
  <si>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</si>
  <si>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</si>
  <si>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</si>
  <si>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</si>
  <si>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</si>
  <si>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</si>
  <si>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</si>
  <si>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</si>
  <si>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</si>
  <si>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</si>
  <si>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</si>
  <si>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</si>
  <si>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</si>
  <si>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</si>
  <si>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</si>
  <si>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</si>
  <si>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</si>
  <si>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</si>
  <si>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</si>
  <si>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</si>
  <si>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</si>
  <si>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</si>
  <si>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</si>
  <si>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</si>
  <si>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</si>
  <si>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</si>
  <si>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</si>
  <si>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</si>
  <si>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</si>
  <si>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</si>
  <si>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</si>
  <si>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</si>
  <si>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</si>
  <si>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</si>
  <si>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</si>
  <si>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</si>
  <si>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</si>
  <si>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</si>
  <si>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</si>
  <si>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</si>
  <si>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</si>
  <si>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</si>
  <si>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</si>
  <si>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</si>
  <si>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</si>
  <si>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</si>
  <si>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</si>
  <si>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</si>
  <si>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</si>
  <si>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</si>
  <si>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</si>
  <si>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</si>
  <si>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</si>
  <si>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</si>
  <si>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</si>
  <si>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</si>
  <si>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</si>
  <si>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</si>
  <si>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</si>
  <si>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</si>
  <si>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</si>
  <si>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</si>
  <si>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</si>
  <si>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</si>
  <si>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</si>
  <si>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</si>
  <si>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</si>
  <si>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</si>
  <si>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</si>
  <si>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</si>
  <si>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</si>
  <si>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</si>
  <si>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</si>
  <si>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</si>
  <si>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</si>
  <si>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</si>
  <si>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</si>
  <si>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</si>
  <si>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</si>
  <si>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</si>
  <si>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</si>
  <si>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</si>
  <si>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</si>
  <si>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</si>
  <si>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</si>
  <si>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</si>
  <si>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</si>
  <si>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</si>
  <si>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</si>
  <si>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</si>
  <si>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</si>
  <si>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</si>
  <si>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</si>
  <si>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</si>
  <si>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</si>
  <si>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</si>
  <si>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</si>
  <si>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</si>
  <si>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</si>
  <si>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</si>
  <si>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</si>
  <si>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</si>
  <si>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</si>
  <si>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</si>
  <si>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</si>
  <si>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</si>
  <si>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</si>
  <si>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</si>
  <si>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</si>
  <si>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</si>
  <si>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</si>
  <si>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</si>
  <si>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</si>
  <si>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</si>
  <si>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</si>
  <si>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</si>
  <si>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</si>
  <si>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</si>
  <si>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</si>
  <si>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</si>
  <si>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</si>
  <si>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</si>
  <si>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</si>
  <si>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</si>
  <si>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</si>
  <si>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</si>
  <si>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</si>
  <si>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</si>
  <si>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</si>
  <si>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</si>
  <si>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</si>
  <si>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</si>
  <si>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</si>
  <si>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</si>
  <si>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</si>
  <si>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</si>
  <si>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</si>
  <si>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</si>
  <si>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</si>
  <si>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</si>
  <si>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</si>
  <si>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</si>
  <si>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</si>
  <si>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</si>
  <si>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</si>
  <si>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</si>
  <si>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</si>
  <si>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</si>
  <si>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</si>
  <si>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</si>
  <si>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</si>
  <si>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</si>
  <si>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</si>
  <si>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</si>
  <si>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</si>
  <si>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</si>
  <si>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</si>
  <si>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</si>
  <si>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</si>
  <si>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</si>
  <si>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</si>
  <si>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</si>
  <si>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</si>
  <si>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</si>
  <si>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</si>
  <si>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</si>
  <si>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</si>
  <si>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</si>
  <si>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</si>
  <si>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</si>
  <si>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</si>
  <si>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</si>
  <si>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</si>
  <si>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</si>
  <si>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</si>
  <si>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</si>
  <si>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</si>
  <si>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</si>
  <si>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</si>
  <si>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</si>
  <si>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</si>
  <si>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</si>
  <si>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</si>
  <si>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</si>
  <si>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</si>
  <si>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</si>
  <si>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</si>
  <si>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</si>
  <si>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</si>
  <si>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</si>
  <si>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</si>
  <si>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</si>
  <si>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</si>
  <si>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</si>
  <si>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</si>
  <si>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</si>
  <si>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</si>
  <si>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</si>
  <si>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</si>
  <si>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</si>
  <si>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</si>
  <si>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</si>
  <si>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</si>
  <si>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</si>
  <si>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</si>
  <si>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</si>
  <si>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</si>
  <si>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</si>
  <si>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</si>
  <si>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</si>
  <si>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</si>
  <si>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</si>
  <si>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</si>
  <si>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</si>
  <si>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</si>
  <si>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</si>
  <si>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</si>
  <si>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</si>
  <si>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</si>
  <si>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</si>
  <si>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</si>
  <si>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</si>
  <si>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</si>
  <si>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</si>
  <si>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</si>
  <si>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</si>
  <si>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</si>
  <si>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</si>
  <si>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</si>
  <si>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</si>
  <si>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</si>
  <si>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</si>
  <si>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</si>
  <si>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</si>
  <si>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</si>
  <si>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</si>
  <si>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</si>
  <si>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</si>
  <si>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</si>
  <si>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</si>
  <si>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</si>
  <si>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</si>
  <si>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</si>
  <si>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</si>
  <si>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</si>
  <si>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</si>
  <si>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</si>
  <si>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</si>
  <si>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</si>
  <si>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</si>
  <si>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</si>
  <si>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</si>
  <si>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</si>
  <si>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</si>
  <si>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</si>
  <si>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</si>
  <si>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</si>
  <si>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</si>
  <si>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</si>
  <si>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</si>
  <si>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</si>
  <si>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</si>
  <si>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</si>
  <si>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</si>
  <si>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</si>
  <si>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</si>
  <si>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</si>
  <si>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</si>
  <si>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</si>
  <si>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</si>
  <si>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</si>
  <si>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</si>
  <si>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Metric </t>
  </si>
  <si>
    <t>Value</t>
  </si>
  <si>
    <t>Total Orders</t>
  </si>
  <si>
    <t>Total Revenue</t>
  </si>
  <si>
    <t>Avg Order Value</t>
  </si>
  <si>
    <t>Highest Order</t>
  </si>
  <si>
    <t>Lowest Order</t>
  </si>
  <si>
    <t>Status</t>
  </si>
  <si>
    <t>Count</t>
  </si>
  <si>
    <t>Source</t>
  </si>
  <si>
    <t>Orders with Coupon</t>
  </si>
  <si>
    <t>Orders without Coupon</t>
  </si>
  <si>
    <t>Most used coupon</t>
  </si>
  <si>
    <t>No Coupon</t>
  </si>
  <si>
    <t>Change ID</t>
  </si>
  <si>
    <t>Description</t>
  </si>
  <si>
    <t>Impact</t>
  </si>
  <si>
    <t>CR001</t>
  </si>
  <si>
    <t>Standardized 309 blank CouponCode values to "No Coupon"</t>
  </si>
  <si>
    <t>Preserved all 1,200 records, improved category clarity</t>
  </si>
  <si>
    <t>Resolved</t>
  </si>
  <si>
    <t>CR002</t>
  </si>
  <si>
    <t>Separated embedded summary/pivot block from raw data sheet into dedicated "Summary Reference" tab</t>
  </si>
  <si>
    <t>Restored single-table structure per data integrity standard</t>
  </si>
  <si>
    <t>CR003</t>
  </si>
  <si>
    <t>Verified OrderID uniqueness across all records</t>
  </si>
  <si>
    <t>0 duplicates found, 1,200/1,200 unique</t>
  </si>
  <si>
    <t>Verified</t>
  </si>
  <si>
    <t>CR004</t>
  </si>
  <si>
    <t>Standardized Date column to ISO 8601 format (YYYY-MM-DD)</t>
  </si>
  <si>
    <t>0 format inconsistencies remaining</t>
  </si>
  <si>
    <t>CR005</t>
  </si>
  <si>
    <t>Validated TotalPrice = Quantity × UnitPrice across all rows</t>
  </si>
  <si>
    <t>0 mismatches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</si>
</sst>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43" fontId="0" fillId="0" borderId="10" xfId="1" applyFont="1" applyBorder="1"/>
    <xf numFmtId="0" fontId="0" fillId="0" borderId="0" xfId="0" applyBorder="1"/>
    <xf numFmtId="43" fontId="0" fillId="0" borderId="0" xfId="1" applyFont="1" applyBorder="1"/>
    <xf numFmtId="15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20" formatCode="dd\-mmm\-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N1201" totalsRowShown="0">
  <autoFilter ref="A1:N1201" xr:uid="{00000000-0009-0000-0100-000004000000}"/>
  <tableColumns count="14">
    <tableColumn id="1" xr3:uid="{00000000-0010-0000-0000-000001000000}" name="OrderID"/>
    <tableColumn id="2" xr3:uid="{00000000-0010-0000-0000-000002000000}" name="Date" dataDxfId="0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F1190" zoomScale="90" zoomScaleNormal="90" workbookViewId="0">
      <selection activeCell="P1203" sqref="P1203"/>
    </sheetView>
  </sheetViews>
  <sheetFormatPr defaultRowHeight="15.75"/>
  <cols>
    <col min="1" max="1" width="11.375" bestFit="1" customWidth="1"/>
    <col min="2" max="2" width="11.375" style="5" bestFit="1" customWidth="1"/>
    <col min="3" max="3" width="12.625" customWidth="1"/>
    <col min="4" max="4" width="9.5" customWidth="1"/>
    <col min="5" max="5" width="10.125" customWidth="1"/>
    <col min="6" max="6" width="10.75" customWidth="1"/>
    <col min="7" max="7" width="16.625" customWidth="1"/>
    <col min="8" max="8" width="17" customWidth="1"/>
    <col min="9" max="9" width="12.625" customWidth="1"/>
    <col min="10" max="10" width="16.375" customWidth="1"/>
    <col min="11" max="11" width="12.5" customWidth="1"/>
    <col min="12" max="12" width="13.625" customWidth="1"/>
    <col min="13" max="13" width="15.125" customWidth="1"/>
    <col min="14" max="14" width="11.25" customWidth="1"/>
    <col min="16" max="16" width="21" bestFit="1" customWidth="1"/>
    <col min="17" max="17" width="13.625" bestFit="1" customWidth="1"/>
    <col min="18" max="18" width="13.625" customWidth="1"/>
    <col min="19" max="19" width="24.75" customWidth="1"/>
    <col min="20" max="20" width="24.5" customWidth="1"/>
    <col min="22" max="22" width="33" bestFit="1" customWidth="1"/>
  </cols>
  <sheetData>
    <row r="1" spans="1:16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s="6"/>
    </row>
    <row r="2" spans="1:16">
      <c r="A2" t="s">
        <v>14</v>
      </c>
      <c r="B2" s="5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6">
      <c r="A3" t="s">
        <v>23</v>
      </c>
      <c r="B3" s="5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6">
      <c r="A4" t="s">
        <v>30</v>
      </c>
      <c r="B4" s="5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6">
      <c r="A5" t="s">
        <v>39</v>
      </c>
      <c r="B5" s="5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6">
      <c r="A6" t="s">
        <v>46</v>
      </c>
      <c r="B6" s="5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6">
      <c r="A7" t="s">
        <v>52</v>
      </c>
      <c r="B7" s="5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6">
      <c r="A8" t="s">
        <v>56</v>
      </c>
      <c r="B8" s="5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6">
      <c r="A9" t="s">
        <v>62</v>
      </c>
      <c r="B9" s="5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6">
      <c r="A10" t="s">
        <v>67</v>
      </c>
      <c r="B10" s="5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4296</v>
      </c>
      <c r="M10" t="s">
        <v>38</v>
      </c>
      <c r="N10">
        <v>268.56</v>
      </c>
    </row>
    <row r="11" spans="1:16">
      <c r="A11" t="s">
        <v>71</v>
      </c>
      <c r="B11" s="5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6">
      <c r="A12" t="s">
        <v>77</v>
      </c>
      <c r="B12" s="5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6">
      <c r="A13" t="s">
        <v>82</v>
      </c>
      <c r="B13" s="5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6">
      <c r="A14" t="s">
        <v>86</v>
      </c>
      <c r="B14" s="5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6">
      <c r="A15" t="s">
        <v>91</v>
      </c>
      <c r="B15" s="5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6">
      <c r="A16" t="s">
        <v>95</v>
      </c>
      <c r="B16" s="5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5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4296</v>
      </c>
      <c r="M17" t="s">
        <v>76</v>
      </c>
      <c r="N17">
        <v>473.96</v>
      </c>
    </row>
    <row r="18" spans="1:14">
      <c r="A18" t="s">
        <v>103</v>
      </c>
      <c r="B18" s="5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5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4296</v>
      </c>
      <c r="M19" t="s">
        <v>29</v>
      </c>
      <c r="N19">
        <v>423.4</v>
      </c>
    </row>
    <row r="20" spans="1:14">
      <c r="A20" t="s">
        <v>111</v>
      </c>
      <c r="B20" s="5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5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5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5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4296</v>
      </c>
      <c r="M23" t="s">
        <v>76</v>
      </c>
      <c r="N23">
        <v>1371.8</v>
      </c>
    </row>
    <row r="24" spans="1:14">
      <c r="A24" t="s">
        <v>127</v>
      </c>
      <c r="B24" s="5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5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5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5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5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4296</v>
      </c>
      <c r="M28" t="s">
        <v>29</v>
      </c>
      <c r="N28">
        <v>297.75</v>
      </c>
    </row>
    <row r="29" spans="1:14">
      <c r="A29" t="s">
        <v>147</v>
      </c>
      <c r="B29" s="5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5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4296</v>
      </c>
      <c r="M30" t="s">
        <v>38</v>
      </c>
      <c r="N30">
        <v>640.28</v>
      </c>
    </row>
    <row r="31" spans="1:14">
      <c r="A31" t="s">
        <v>155</v>
      </c>
      <c r="B31" s="5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5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5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4296</v>
      </c>
      <c r="M33" t="s">
        <v>45</v>
      </c>
      <c r="N33">
        <v>1500.24</v>
      </c>
    </row>
    <row r="34" spans="1:14">
      <c r="A34" t="s">
        <v>167</v>
      </c>
      <c r="B34" s="5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4296</v>
      </c>
      <c r="M34" t="s">
        <v>38</v>
      </c>
      <c r="N34">
        <v>2683.6</v>
      </c>
    </row>
    <row r="35" spans="1:14">
      <c r="A35" t="s">
        <v>171</v>
      </c>
      <c r="B35" s="5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5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5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5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4296</v>
      </c>
      <c r="M38" t="s">
        <v>45</v>
      </c>
      <c r="N38">
        <v>1068.8599999999999</v>
      </c>
    </row>
    <row r="39" spans="1:14">
      <c r="A39" t="s">
        <v>187</v>
      </c>
      <c r="B39" s="5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5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5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199</v>
      </c>
      <c r="B42" s="5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5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5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4296</v>
      </c>
      <c r="M44" t="s">
        <v>22</v>
      </c>
      <c r="N44">
        <v>303.32</v>
      </c>
    </row>
    <row r="45" spans="1:14">
      <c r="A45" t="s">
        <v>210</v>
      </c>
      <c r="B45" s="5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4296</v>
      </c>
      <c r="M45" t="s">
        <v>22</v>
      </c>
      <c r="N45">
        <v>1497.63</v>
      </c>
    </row>
    <row r="46" spans="1:14">
      <c r="A46" t="s">
        <v>214</v>
      </c>
      <c r="B46" s="5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5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5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5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5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4296</v>
      </c>
      <c r="M50" t="s">
        <v>76</v>
      </c>
      <c r="N50">
        <v>161.54</v>
      </c>
    </row>
    <row r="51" spans="1:14">
      <c r="A51" t="s">
        <v>233</v>
      </c>
      <c r="B51" s="5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5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5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5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5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5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5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4296</v>
      </c>
      <c r="M57" t="s">
        <v>45</v>
      </c>
      <c r="N57">
        <v>1033.2</v>
      </c>
    </row>
    <row r="58" spans="1:14">
      <c r="A58" t="s">
        <v>259</v>
      </c>
      <c r="B58" s="5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5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5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5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4296</v>
      </c>
      <c r="M61" t="s">
        <v>45</v>
      </c>
      <c r="N61">
        <v>2373.08</v>
      </c>
    </row>
    <row r="62" spans="1:14">
      <c r="A62" t="s">
        <v>275</v>
      </c>
      <c r="B62" s="5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5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5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5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5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5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4296</v>
      </c>
      <c r="M67" t="s">
        <v>22</v>
      </c>
      <c r="N67">
        <v>408.5</v>
      </c>
    </row>
    <row r="68" spans="1:14">
      <c r="A68" t="s">
        <v>299</v>
      </c>
      <c r="B68" s="5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303</v>
      </c>
      <c r="B69" s="5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4296</v>
      </c>
      <c r="M69" t="s">
        <v>76</v>
      </c>
      <c r="N69">
        <v>48.4</v>
      </c>
    </row>
    <row r="70" spans="1:14">
      <c r="A70" t="s">
        <v>307</v>
      </c>
      <c r="B70" s="5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5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4296</v>
      </c>
      <c r="M71" t="s">
        <v>29</v>
      </c>
      <c r="N71">
        <v>1435.95</v>
      </c>
    </row>
    <row r="72" spans="1:14">
      <c r="A72" t="s">
        <v>314</v>
      </c>
      <c r="B72" s="5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5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4296</v>
      </c>
      <c r="M73" t="s">
        <v>29</v>
      </c>
      <c r="N73">
        <v>1303.3499999999999</v>
      </c>
    </row>
    <row r="74" spans="1:14">
      <c r="A74" t="s">
        <v>322</v>
      </c>
      <c r="B74" s="5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4296</v>
      </c>
      <c r="M74" t="s">
        <v>45</v>
      </c>
      <c r="N74">
        <v>2357.7600000000002</v>
      </c>
    </row>
    <row r="75" spans="1:14">
      <c r="A75" t="s">
        <v>325</v>
      </c>
      <c r="B75" s="5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4296</v>
      </c>
      <c r="M75" t="s">
        <v>45</v>
      </c>
      <c r="N75">
        <v>1733.8</v>
      </c>
    </row>
    <row r="76" spans="1:14">
      <c r="A76" t="s">
        <v>329</v>
      </c>
      <c r="B76" s="5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4296</v>
      </c>
      <c r="M76" t="s">
        <v>22</v>
      </c>
      <c r="N76">
        <v>454.35</v>
      </c>
    </row>
    <row r="77" spans="1:14">
      <c r="A77" t="s">
        <v>333</v>
      </c>
      <c r="B77" s="5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5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5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4296</v>
      </c>
      <c r="M79" t="s">
        <v>76</v>
      </c>
      <c r="N79">
        <v>583.17999999999995</v>
      </c>
    </row>
    <row r="80" spans="1:14">
      <c r="A80" t="s">
        <v>345</v>
      </c>
      <c r="B80" s="5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5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4296</v>
      </c>
      <c r="M81" t="s">
        <v>45</v>
      </c>
      <c r="N81">
        <v>623.82000000000005</v>
      </c>
    </row>
    <row r="82" spans="1:14">
      <c r="A82" t="s">
        <v>353</v>
      </c>
      <c r="B82" s="5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4296</v>
      </c>
      <c r="M82" t="s">
        <v>45</v>
      </c>
      <c r="N82">
        <v>1768.68</v>
      </c>
    </row>
    <row r="83" spans="1:14">
      <c r="A83" t="s">
        <v>357</v>
      </c>
      <c r="B83" s="5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5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5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4296</v>
      </c>
      <c r="M85" t="s">
        <v>29</v>
      </c>
      <c r="N85">
        <v>2161.64</v>
      </c>
    </row>
    <row r="86" spans="1:14">
      <c r="A86" t="s">
        <v>369</v>
      </c>
      <c r="B86" s="5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5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377</v>
      </c>
      <c r="B88" s="5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5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5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4296</v>
      </c>
      <c r="M90" t="s">
        <v>76</v>
      </c>
      <c r="N90">
        <v>344.43</v>
      </c>
    </row>
    <row r="91" spans="1:14">
      <c r="A91" t="s">
        <v>389</v>
      </c>
      <c r="B91" s="5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5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5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5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5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4296</v>
      </c>
      <c r="M95" t="s">
        <v>29</v>
      </c>
      <c r="N95">
        <v>1724.04</v>
      </c>
    </row>
    <row r="96" spans="1:14">
      <c r="A96" t="s">
        <v>409</v>
      </c>
      <c r="B96" s="5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5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4296</v>
      </c>
      <c r="M97" t="s">
        <v>29</v>
      </c>
      <c r="N97">
        <v>470.04</v>
      </c>
    </row>
    <row r="98" spans="1:14">
      <c r="A98" t="s">
        <v>417</v>
      </c>
      <c r="B98" s="5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4296</v>
      </c>
      <c r="M98" t="s">
        <v>22</v>
      </c>
      <c r="N98">
        <v>465.66</v>
      </c>
    </row>
    <row r="99" spans="1:14">
      <c r="A99" t="s">
        <v>420</v>
      </c>
      <c r="B99" s="5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4296</v>
      </c>
      <c r="M99" t="s">
        <v>38</v>
      </c>
      <c r="N99">
        <v>3097.6</v>
      </c>
    </row>
    <row r="100" spans="1:14">
      <c r="A100" t="s">
        <v>424</v>
      </c>
      <c r="B100" s="5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4296</v>
      </c>
      <c r="M100" t="s">
        <v>38</v>
      </c>
      <c r="N100">
        <v>457.08</v>
      </c>
    </row>
    <row r="101" spans="1:14">
      <c r="A101" t="s">
        <v>428</v>
      </c>
      <c r="B101" s="5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5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4296</v>
      </c>
      <c r="M102" t="s">
        <v>45</v>
      </c>
      <c r="N102">
        <v>1994.37</v>
      </c>
    </row>
    <row r="103" spans="1:14">
      <c r="A103" t="s">
        <v>436</v>
      </c>
      <c r="B103" s="5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4296</v>
      </c>
      <c r="M103" t="s">
        <v>76</v>
      </c>
      <c r="N103">
        <v>381.02</v>
      </c>
    </row>
    <row r="104" spans="1:14">
      <c r="A104" t="s">
        <v>440</v>
      </c>
      <c r="B104" s="5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5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5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5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4296</v>
      </c>
      <c r="M107" t="s">
        <v>45</v>
      </c>
      <c r="N107">
        <v>556.20000000000005</v>
      </c>
    </row>
    <row r="108" spans="1:14">
      <c r="A108" t="s">
        <v>456</v>
      </c>
      <c r="B108" s="5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5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5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5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5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5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>
      <c r="A114" t="s">
        <v>480</v>
      </c>
      <c r="B114" s="5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5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488</v>
      </c>
      <c r="B116" s="5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5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5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5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5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5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5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5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5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4296</v>
      </c>
      <c r="M124" t="s">
        <v>45</v>
      </c>
      <c r="N124">
        <v>1066.04</v>
      </c>
    </row>
    <row r="125" spans="1:14">
      <c r="A125" t="s">
        <v>523</v>
      </c>
      <c r="B125" s="5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4296</v>
      </c>
      <c r="M125" t="s">
        <v>22</v>
      </c>
      <c r="N125">
        <v>834.12</v>
      </c>
    </row>
    <row r="126" spans="1:14">
      <c r="A126" t="s">
        <v>527</v>
      </c>
      <c r="B126" s="5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4296</v>
      </c>
      <c r="M126" t="s">
        <v>76</v>
      </c>
      <c r="N126">
        <v>1135.1600000000001</v>
      </c>
    </row>
    <row r="127" spans="1:14">
      <c r="A127" t="s">
        <v>531</v>
      </c>
      <c r="B127" s="5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5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5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4296</v>
      </c>
      <c r="M129" t="s">
        <v>76</v>
      </c>
      <c r="N129">
        <v>1407.96</v>
      </c>
    </row>
    <row r="130" spans="1:14">
      <c r="A130" t="s">
        <v>543</v>
      </c>
      <c r="B130" s="5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5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5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5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4296</v>
      </c>
      <c r="M133" t="s">
        <v>22</v>
      </c>
      <c r="N133">
        <v>84.8</v>
      </c>
    </row>
    <row r="134" spans="1:14">
      <c r="A134" t="s">
        <v>559</v>
      </c>
      <c r="B134" s="5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5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5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4296</v>
      </c>
      <c r="M136" t="s">
        <v>38</v>
      </c>
      <c r="N136">
        <v>399.4</v>
      </c>
    </row>
    <row r="137" spans="1:14">
      <c r="A137" t="s">
        <v>570</v>
      </c>
      <c r="B137" s="5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5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5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4296</v>
      </c>
      <c r="M139" t="s">
        <v>76</v>
      </c>
      <c r="N139">
        <v>501.96</v>
      </c>
    </row>
    <row r="140" spans="1:14">
      <c r="A140" t="s">
        <v>582</v>
      </c>
      <c r="B140" s="5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5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4296</v>
      </c>
      <c r="M141" t="s">
        <v>38</v>
      </c>
      <c r="N141">
        <v>583.9</v>
      </c>
    </row>
    <row r="142" spans="1:14">
      <c r="A142" t="s">
        <v>590</v>
      </c>
      <c r="B142" s="5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5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5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5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4296</v>
      </c>
      <c r="M145" t="s">
        <v>29</v>
      </c>
      <c r="N145">
        <v>1600.28</v>
      </c>
    </row>
    <row r="146" spans="1:14">
      <c r="A146" t="s">
        <v>605</v>
      </c>
      <c r="B146" s="5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4296</v>
      </c>
      <c r="M146" t="s">
        <v>45</v>
      </c>
      <c r="N146">
        <v>1098.9000000000001</v>
      </c>
    </row>
    <row r="147" spans="1:14">
      <c r="A147" t="s">
        <v>608</v>
      </c>
      <c r="B147" s="5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5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4296</v>
      </c>
      <c r="M148" t="s">
        <v>22</v>
      </c>
      <c r="N148">
        <v>822.98</v>
      </c>
    </row>
    <row r="149" spans="1:14">
      <c r="A149" t="s">
        <v>616</v>
      </c>
      <c r="B149" s="5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5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5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4296</v>
      </c>
      <c r="M151" t="s">
        <v>45</v>
      </c>
      <c r="N151">
        <v>217.56</v>
      </c>
    </row>
    <row r="152" spans="1:14">
      <c r="A152" t="s">
        <v>628</v>
      </c>
      <c r="B152" s="5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5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4296</v>
      </c>
      <c r="M153" t="s">
        <v>38</v>
      </c>
      <c r="N153">
        <v>2223.8000000000002</v>
      </c>
    </row>
    <row r="154" spans="1:14">
      <c r="A154" t="s">
        <v>636</v>
      </c>
      <c r="B154" s="5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5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5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4296</v>
      </c>
      <c r="M156" t="s">
        <v>22</v>
      </c>
      <c r="N156">
        <v>1632.84</v>
      </c>
    </row>
    <row r="157" spans="1:14">
      <c r="A157" t="s">
        <v>647</v>
      </c>
      <c r="B157" s="5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5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5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5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5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5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4296</v>
      </c>
      <c r="M162" t="s">
        <v>29</v>
      </c>
      <c r="N162">
        <v>405.28</v>
      </c>
    </row>
    <row r="163" spans="1:14">
      <c r="A163" t="s">
        <v>669</v>
      </c>
      <c r="B163" s="5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5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5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4296</v>
      </c>
      <c r="M165" t="s">
        <v>29</v>
      </c>
      <c r="N165">
        <v>641.39</v>
      </c>
    </row>
    <row r="166" spans="1:14">
      <c r="A166" t="s">
        <v>679</v>
      </c>
      <c r="B166" s="5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5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5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5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5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4296</v>
      </c>
      <c r="M170" t="s">
        <v>45</v>
      </c>
      <c r="N170">
        <v>594.96</v>
      </c>
    </row>
    <row r="171" spans="1:14">
      <c r="A171" t="s">
        <v>698</v>
      </c>
      <c r="B171" s="5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5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5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5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5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5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5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5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5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4296</v>
      </c>
      <c r="M179" t="s">
        <v>45</v>
      </c>
      <c r="N179">
        <v>2158.4499999999998</v>
      </c>
    </row>
    <row r="180" spans="1:14">
      <c r="A180" t="s">
        <v>733</v>
      </c>
      <c r="B180" s="5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5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4296</v>
      </c>
      <c r="M181" t="s">
        <v>38</v>
      </c>
      <c r="N181">
        <v>1619.73</v>
      </c>
    </row>
    <row r="182" spans="1:14">
      <c r="A182" t="s">
        <v>741</v>
      </c>
      <c r="B182" s="5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4296</v>
      </c>
      <c r="M182" t="s">
        <v>76</v>
      </c>
      <c r="N182">
        <v>1580.35</v>
      </c>
    </row>
    <row r="183" spans="1:14">
      <c r="A183" t="s">
        <v>745</v>
      </c>
      <c r="B183" s="5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4296</v>
      </c>
      <c r="M183" t="s">
        <v>29</v>
      </c>
      <c r="N183">
        <v>2021.95</v>
      </c>
    </row>
    <row r="184" spans="1:14">
      <c r="A184" t="s">
        <v>749</v>
      </c>
      <c r="B184" s="5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5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5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4296</v>
      </c>
      <c r="M186" t="s">
        <v>29</v>
      </c>
      <c r="N186">
        <v>858.16</v>
      </c>
    </row>
    <row r="187" spans="1:14">
      <c r="A187" t="s">
        <v>761</v>
      </c>
      <c r="B187" s="5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5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5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5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5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5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785</v>
      </c>
      <c r="B193" s="5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5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5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4296</v>
      </c>
      <c r="M195" t="s">
        <v>76</v>
      </c>
      <c r="N195">
        <v>46.66</v>
      </c>
    </row>
    <row r="196" spans="1:14">
      <c r="A196" t="s">
        <v>796</v>
      </c>
      <c r="B196" s="5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5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4296</v>
      </c>
      <c r="M197" t="s">
        <v>38</v>
      </c>
      <c r="N197">
        <v>1857.63</v>
      </c>
    </row>
    <row r="198" spans="1:14">
      <c r="A198" t="s">
        <v>804</v>
      </c>
      <c r="B198" s="5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5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5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5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5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5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5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828</v>
      </c>
      <c r="B205" s="5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5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5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4296</v>
      </c>
      <c r="M207" t="s">
        <v>38</v>
      </c>
      <c r="N207">
        <v>442.17</v>
      </c>
    </row>
    <row r="208" spans="1:14">
      <c r="A208" t="s">
        <v>839</v>
      </c>
      <c r="B208" s="5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5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4296</v>
      </c>
      <c r="M209" t="s">
        <v>76</v>
      </c>
      <c r="N209">
        <v>121.96</v>
      </c>
    </row>
    <row r="210" spans="1:14">
      <c r="A210" t="s">
        <v>847</v>
      </c>
      <c r="B210" s="5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5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5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5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5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5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5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4296</v>
      </c>
      <c r="M216" t="s">
        <v>45</v>
      </c>
      <c r="N216">
        <v>1222.8800000000001</v>
      </c>
    </row>
    <row r="217" spans="1:14">
      <c r="A217" t="s">
        <v>871</v>
      </c>
      <c r="B217" s="5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5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5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4296</v>
      </c>
      <c r="M219" t="s">
        <v>76</v>
      </c>
      <c r="N219">
        <v>1286.04</v>
      </c>
    </row>
    <row r="220" spans="1:14">
      <c r="A220" t="s">
        <v>882</v>
      </c>
      <c r="B220" s="5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5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5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5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5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4296</v>
      </c>
      <c r="M224" t="s">
        <v>22</v>
      </c>
      <c r="N224">
        <v>2773.44</v>
      </c>
    </row>
    <row r="225" spans="1:14">
      <c r="A225" t="s">
        <v>901</v>
      </c>
      <c r="B225" s="5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5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5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>
      <c r="A228" t="s">
        <v>912</v>
      </c>
      <c r="B228" s="5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4296</v>
      </c>
      <c r="M228" t="s">
        <v>22</v>
      </c>
      <c r="N228">
        <v>1764.15</v>
      </c>
    </row>
    <row r="229" spans="1:14">
      <c r="A229" t="s">
        <v>916</v>
      </c>
      <c r="B229" s="5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5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4296</v>
      </c>
      <c r="M230" t="s">
        <v>22</v>
      </c>
      <c r="N230">
        <v>1543.68</v>
      </c>
    </row>
    <row r="231" spans="1:14">
      <c r="A231" t="s">
        <v>923</v>
      </c>
      <c r="B231" s="5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5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5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5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5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5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5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5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5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5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5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5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5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5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5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5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5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4296</v>
      </c>
      <c r="M247" t="s">
        <v>45</v>
      </c>
      <c r="N247">
        <v>223.3</v>
      </c>
    </row>
    <row r="248" spans="1:14">
      <c r="A248" t="s">
        <v>990</v>
      </c>
      <c r="B248" s="5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5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4296</v>
      </c>
      <c r="M249" t="s">
        <v>38</v>
      </c>
      <c r="N249">
        <v>441.8</v>
      </c>
    </row>
    <row r="250" spans="1:14">
      <c r="A250" t="s">
        <v>998</v>
      </c>
      <c r="B250" s="5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5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5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5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4296</v>
      </c>
      <c r="M253" t="s">
        <v>38</v>
      </c>
      <c r="N253">
        <v>58.76</v>
      </c>
    </row>
    <row r="254" spans="1:14">
      <c r="A254" t="s">
        <v>1013</v>
      </c>
      <c r="B254" s="5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5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5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4296</v>
      </c>
      <c r="M256" t="s">
        <v>22</v>
      </c>
      <c r="N256">
        <v>789.57</v>
      </c>
    </row>
    <row r="257" spans="1:14">
      <c r="A257" t="s">
        <v>1023</v>
      </c>
      <c r="B257" s="5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5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5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5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5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5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4296</v>
      </c>
      <c r="M262" t="s">
        <v>76</v>
      </c>
      <c r="N262">
        <v>815.58</v>
      </c>
    </row>
    <row r="263" spans="1:14">
      <c r="A263" t="s">
        <v>1045</v>
      </c>
      <c r="B263" s="5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5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5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5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5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5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5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4296</v>
      </c>
      <c r="M269" t="s">
        <v>45</v>
      </c>
      <c r="N269">
        <v>2342.5500000000002</v>
      </c>
    </row>
    <row r="270" spans="1:14">
      <c r="A270" t="s">
        <v>1072</v>
      </c>
      <c r="B270" s="5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5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5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5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5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5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5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5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5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5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5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5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5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5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4296</v>
      </c>
      <c r="M283" t="s">
        <v>29</v>
      </c>
      <c r="N283">
        <v>2619.16</v>
      </c>
    </row>
    <row r="284" spans="1:14">
      <c r="A284" t="s">
        <v>1127</v>
      </c>
      <c r="B284" s="5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5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4296</v>
      </c>
      <c r="M285" t="s">
        <v>76</v>
      </c>
      <c r="N285">
        <v>2161.3200000000002</v>
      </c>
    </row>
    <row r="286" spans="1:14">
      <c r="A286" t="s">
        <v>1135</v>
      </c>
      <c r="B286" s="5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5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4296</v>
      </c>
      <c r="M287" t="s">
        <v>76</v>
      </c>
      <c r="N287">
        <v>338.31</v>
      </c>
    </row>
    <row r="288" spans="1:14">
      <c r="A288" t="s">
        <v>1142</v>
      </c>
      <c r="B288" s="5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5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4296</v>
      </c>
      <c r="M289" t="s">
        <v>45</v>
      </c>
      <c r="N289">
        <v>2620.7199999999998</v>
      </c>
    </row>
    <row r="290" spans="1:14">
      <c r="A290" t="s">
        <v>1149</v>
      </c>
      <c r="B290" s="5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5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5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5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5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4296</v>
      </c>
      <c r="M294" t="s">
        <v>45</v>
      </c>
      <c r="N294">
        <v>65.95</v>
      </c>
    </row>
    <row r="295" spans="1:14">
      <c r="A295" t="s">
        <v>1166</v>
      </c>
      <c r="B295" s="5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4296</v>
      </c>
      <c r="M295" t="s">
        <v>22</v>
      </c>
      <c r="N295">
        <v>1852.16</v>
      </c>
    </row>
    <row r="296" spans="1:14">
      <c r="A296" t="s">
        <v>1170</v>
      </c>
      <c r="B296" s="5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5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5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5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5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4296</v>
      </c>
      <c r="M300" t="s">
        <v>38</v>
      </c>
      <c r="N300">
        <v>1204.68</v>
      </c>
    </row>
    <row r="301" spans="1:14">
      <c r="A301" t="s">
        <v>1188</v>
      </c>
      <c r="B301" s="5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5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5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5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5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4296</v>
      </c>
      <c r="M305" t="s">
        <v>76</v>
      </c>
      <c r="N305">
        <v>30.54</v>
      </c>
    </row>
    <row r="306" spans="1:14">
      <c r="A306" t="s">
        <v>1208</v>
      </c>
      <c r="B306" s="5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5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5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5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4296</v>
      </c>
      <c r="M309" t="s">
        <v>38</v>
      </c>
      <c r="N309">
        <v>1672.23</v>
      </c>
    </row>
    <row r="310" spans="1:14">
      <c r="A310" t="s">
        <v>1224</v>
      </c>
      <c r="B310" s="5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5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5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4296</v>
      </c>
      <c r="M312" t="s">
        <v>29</v>
      </c>
      <c r="N312">
        <v>397.44</v>
      </c>
    </row>
    <row r="313" spans="1:14">
      <c r="A313" t="s">
        <v>1235</v>
      </c>
      <c r="B313" s="5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4296</v>
      </c>
      <c r="M313" t="s">
        <v>22</v>
      </c>
      <c r="N313">
        <v>2446.85</v>
      </c>
    </row>
    <row r="314" spans="1:14">
      <c r="A314" t="s">
        <v>1239</v>
      </c>
      <c r="B314" s="5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5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5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5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5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5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4296</v>
      </c>
      <c r="M319" t="s">
        <v>22</v>
      </c>
      <c r="N319">
        <v>279.89999999999998</v>
      </c>
    </row>
    <row r="320" spans="1:14">
      <c r="A320" t="s">
        <v>1262</v>
      </c>
      <c r="B320" s="5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5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4296</v>
      </c>
      <c r="M321" t="s">
        <v>22</v>
      </c>
      <c r="N321">
        <v>1126.1199999999999</v>
      </c>
    </row>
    <row r="322" spans="1:14">
      <c r="A322" t="s">
        <v>1269</v>
      </c>
      <c r="B322" s="5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5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5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5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5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4296</v>
      </c>
      <c r="M326" t="s">
        <v>29</v>
      </c>
      <c r="N326">
        <v>212.79</v>
      </c>
    </row>
    <row r="327" spans="1:14">
      <c r="A327" t="s">
        <v>1287</v>
      </c>
      <c r="B327" s="5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4296</v>
      </c>
      <c r="M327" t="s">
        <v>29</v>
      </c>
      <c r="N327">
        <v>1084.17</v>
      </c>
    </row>
    <row r="328" spans="1:14">
      <c r="A328" t="s">
        <v>1291</v>
      </c>
      <c r="B328" s="5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5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5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5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4296</v>
      </c>
      <c r="M331" t="s">
        <v>76</v>
      </c>
      <c r="N331">
        <v>1132.6400000000001</v>
      </c>
    </row>
    <row r="332" spans="1:14">
      <c r="A332" t="s">
        <v>1304</v>
      </c>
      <c r="B332" s="5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5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5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5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5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5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4296</v>
      </c>
      <c r="M337" t="s">
        <v>38</v>
      </c>
      <c r="N337">
        <v>617.58000000000004</v>
      </c>
    </row>
    <row r="338" spans="1:14">
      <c r="A338" t="s">
        <v>1326</v>
      </c>
      <c r="B338" s="5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5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5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4296</v>
      </c>
      <c r="M340" t="s">
        <v>29</v>
      </c>
      <c r="N340">
        <v>1527.45</v>
      </c>
    </row>
    <row r="341" spans="1:14">
      <c r="A341" t="s">
        <v>1338</v>
      </c>
      <c r="B341" s="5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5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4296</v>
      </c>
      <c r="M342" t="s">
        <v>38</v>
      </c>
      <c r="N342">
        <v>2606.25</v>
      </c>
    </row>
    <row r="343" spans="1:14">
      <c r="A343" t="s">
        <v>1346</v>
      </c>
      <c r="B343" s="5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5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4296</v>
      </c>
      <c r="M344" t="s">
        <v>29</v>
      </c>
      <c r="N344">
        <v>2332.1</v>
      </c>
    </row>
    <row r="345" spans="1:14">
      <c r="A345" t="s">
        <v>1354</v>
      </c>
      <c r="B345" s="5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5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5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5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4296</v>
      </c>
      <c r="M348" t="s">
        <v>29</v>
      </c>
      <c r="N348">
        <v>655.09</v>
      </c>
    </row>
    <row r="349" spans="1:14">
      <c r="A349" t="s">
        <v>1370</v>
      </c>
      <c r="B349" s="5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5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5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5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4296</v>
      </c>
      <c r="M352" t="s">
        <v>22</v>
      </c>
      <c r="N352">
        <v>108.82</v>
      </c>
    </row>
    <row r="353" spans="1:14">
      <c r="A353" t="s">
        <v>1386</v>
      </c>
      <c r="B353" s="5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4296</v>
      </c>
      <c r="M353" t="s">
        <v>22</v>
      </c>
      <c r="N353">
        <v>64.66</v>
      </c>
    </row>
    <row r="354" spans="1:14">
      <c r="A354" t="s">
        <v>1390</v>
      </c>
      <c r="B354" s="5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>
      <c r="A355" t="s">
        <v>1394</v>
      </c>
      <c r="B355" s="5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5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4296</v>
      </c>
      <c r="M356" t="s">
        <v>22</v>
      </c>
      <c r="N356">
        <v>693.41</v>
      </c>
    </row>
    <row r="357" spans="1:14">
      <c r="A357" t="s">
        <v>1402</v>
      </c>
      <c r="B357" s="5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5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5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5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5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5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4296</v>
      </c>
      <c r="M362" t="s">
        <v>22</v>
      </c>
      <c r="N362">
        <v>2358.2800000000002</v>
      </c>
    </row>
    <row r="363" spans="1:14">
      <c r="A363" t="s">
        <v>1425</v>
      </c>
      <c r="B363" s="5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5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5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5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5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5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4296</v>
      </c>
      <c r="M368" t="s">
        <v>29</v>
      </c>
      <c r="N368">
        <v>1806.72</v>
      </c>
    </row>
    <row r="369" spans="1:14">
      <c r="A369" t="s">
        <v>1446</v>
      </c>
      <c r="B369" s="5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5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4296</v>
      </c>
      <c r="M370" t="s">
        <v>76</v>
      </c>
      <c r="N370">
        <v>813.06</v>
      </c>
    </row>
    <row r="371" spans="1:14">
      <c r="A371" t="s">
        <v>1453</v>
      </c>
      <c r="B371" s="5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5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5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5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4296</v>
      </c>
      <c r="M374" t="s">
        <v>29</v>
      </c>
      <c r="N374">
        <v>1450.59</v>
      </c>
    </row>
    <row r="375" spans="1:14">
      <c r="A375" t="s">
        <v>1468</v>
      </c>
      <c r="B375" s="5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5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5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5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5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5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5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4296</v>
      </c>
      <c r="M381" t="s">
        <v>76</v>
      </c>
      <c r="N381">
        <v>893.01</v>
      </c>
    </row>
    <row r="382" spans="1:14">
      <c r="A382" t="s">
        <v>1493</v>
      </c>
      <c r="B382" s="5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5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5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5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5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5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5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4296</v>
      </c>
      <c r="M388" t="s">
        <v>38</v>
      </c>
      <c r="N388">
        <v>93.02</v>
      </c>
    </row>
    <row r="389" spans="1:14">
      <c r="A389" t="s">
        <v>1517</v>
      </c>
      <c r="B389" s="5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5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5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5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5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5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5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4296</v>
      </c>
      <c r="M395" t="s">
        <v>76</v>
      </c>
      <c r="N395">
        <v>75.010000000000005</v>
      </c>
    </row>
    <row r="396" spans="1:14">
      <c r="A396" t="s">
        <v>1540</v>
      </c>
      <c r="B396" s="5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4296</v>
      </c>
      <c r="M396" t="s">
        <v>45</v>
      </c>
      <c r="N396">
        <v>2647.75</v>
      </c>
    </row>
    <row r="397" spans="1:14">
      <c r="A397" t="s">
        <v>1544</v>
      </c>
      <c r="B397" s="5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5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5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5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5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5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5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4296</v>
      </c>
      <c r="M403" t="s">
        <v>29</v>
      </c>
      <c r="N403">
        <v>538.67999999999995</v>
      </c>
    </row>
    <row r="404" spans="1:14">
      <c r="A404" t="s">
        <v>1569</v>
      </c>
      <c r="B404" s="5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4296</v>
      </c>
      <c r="M404" t="s">
        <v>29</v>
      </c>
      <c r="N404">
        <v>1686.9</v>
      </c>
    </row>
    <row r="405" spans="1:14">
      <c r="A405" t="s">
        <v>1573</v>
      </c>
      <c r="B405" s="5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5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4296</v>
      </c>
      <c r="M406" t="s">
        <v>22</v>
      </c>
      <c r="N406">
        <v>198.2</v>
      </c>
    </row>
    <row r="407" spans="1:14">
      <c r="A407" t="s">
        <v>1579</v>
      </c>
      <c r="B407" s="5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5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5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5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5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5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4296</v>
      </c>
      <c r="M412" t="s">
        <v>38</v>
      </c>
      <c r="N412">
        <v>1036.46</v>
      </c>
    </row>
    <row r="413" spans="1:14">
      <c r="A413" t="s">
        <v>1600</v>
      </c>
      <c r="B413" s="5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4296</v>
      </c>
      <c r="M413" t="s">
        <v>45</v>
      </c>
      <c r="N413">
        <v>79.02</v>
      </c>
    </row>
    <row r="414" spans="1:14">
      <c r="A414" t="s">
        <v>1603</v>
      </c>
      <c r="B414" s="5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4296</v>
      </c>
      <c r="M414" t="s">
        <v>45</v>
      </c>
      <c r="N414">
        <v>665.05</v>
      </c>
    </row>
    <row r="415" spans="1:14">
      <c r="A415" t="s">
        <v>1607</v>
      </c>
      <c r="B415" s="5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5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5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5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5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4296</v>
      </c>
      <c r="M419" t="s">
        <v>76</v>
      </c>
      <c r="N419">
        <v>277.05</v>
      </c>
    </row>
    <row r="420" spans="1:14">
      <c r="A420" t="s">
        <v>1626</v>
      </c>
      <c r="B420" s="5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4296</v>
      </c>
      <c r="M420" t="s">
        <v>45</v>
      </c>
      <c r="N420">
        <v>310.93</v>
      </c>
    </row>
    <row r="421" spans="1:14">
      <c r="A421" t="s">
        <v>1630</v>
      </c>
      <c r="B421" s="5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5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5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4296</v>
      </c>
      <c r="M423" t="s">
        <v>38</v>
      </c>
      <c r="N423">
        <v>576.41999999999996</v>
      </c>
    </row>
    <row r="424" spans="1:14">
      <c r="A424" t="s">
        <v>1641</v>
      </c>
      <c r="B424" s="5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5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5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4296</v>
      </c>
      <c r="M426" t="s">
        <v>38</v>
      </c>
      <c r="N426">
        <v>114.7</v>
      </c>
    </row>
    <row r="427" spans="1:14">
      <c r="A427" t="s">
        <v>1650</v>
      </c>
      <c r="B427" s="5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5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4296</v>
      </c>
      <c r="M428" t="s">
        <v>45</v>
      </c>
      <c r="N428">
        <v>287.25</v>
      </c>
    </row>
    <row r="429" spans="1:14">
      <c r="A429" t="s">
        <v>1658</v>
      </c>
      <c r="B429" s="5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5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5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5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5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5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4296</v>
      </c>
      <c r="M434" t="s">
        <v>29</v>
      </c>
      <c r="N434">
        <v>848.64</v>
      </c>
    </row>
    <row r="435" spans="1:14">
      <c r="A435" t="s">
        <v>1679</v>
      </c>
      <c r="B435" s="5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5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4296</v>
      </c>
      <c r="M436" t="s">
        <v>45</v>
      </c>
      <c r="N436">
        <v>1638.4</v>
      </c>
    </row>
    <row r="437" spans="1:14">
      <c r="A437" t="s">
        <v>1685</v>
      </c>
      <c r="B437" s="5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5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4296</v>
      </c>
      <c r="M438" t="s">
        <v>76</v>
      </c>
      <c r="N438">
        <v>885.32</v>
      </c>
    </row>
    <row r="439" spans="1:14">
      <c r="A439" t="s">
        <v>1691</v>
      </c>
      <c r="B439" s="5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5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5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5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5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5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5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4296</v>
      </c>
      <c r="M445" t="s">
        <v>45</v>
      </c>
      <c r="N445">
        <v>139.28</v>
      </c>
    </row>
    <row r="446" spans="1:14">
      <c r="A446" t="s">
        <v>1717</v>
      </c>
      <c r="B446" s="5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5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5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5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4296</v>
      </c>
      <c r="M449" t="s">
        <v>45</v>
      </c>
      <c r="N449">
        <v>833.62</v>
      </c>
    </row>
    <row r="450" spans="1:14">
      <c r="A450" t="s">
        <v>1733</v>
      </c>
      <c r="B450" s="5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5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4296</v>
      </c>
      <c r="M451" t="s">
        <v>22</v>
      </c>
      <c r="N451">
        <v>759.15</v>
      </c>
    </row>
    <row r="452" spans="1:14">
      <c r="A452" t="s">
        <v>1741</v>
      </c>
      <c r="B452" s="5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5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5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5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5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5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5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5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5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5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4296</v>
      </c>
      <c r="M461" t="s">
        <v>22</v>
      </c>
      <c r="N461">
        <v>334.39</v>
      </c>
    </row>
    <row r="462" spans="1:14">
      <c r="A462" t="s">
        <v>1777</v>
      </c>
      <c r="B462" s="5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5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5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4296</v>
      </c>
      <c r="M464" t="s">
        <v>29</v>
      </c>
      <c r="N464">
        <v>252.68</v>
      </c>
    </row>
    <row r="465" spans="1:14">
      <c r="A465" t="s">
        <v>1788</v>
      </c>
      <c r="B465" s="5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5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5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4296</v>
      </c>
      <c r="M467" t="s">
        <v>76</v>
      </c>
      <c r="N467">
        <v>2567.4499999999998</v>
      </c>
    </row>
    <row r="468" spans="1:14">
      <c r="A468" t="s">
        <v>1800</v>
      </c>
      <c r="B468" s="5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5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5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5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4296</v>
      </c>
      <c r="M471" t="s">
        <v>45</v>
      </c>
      <c r="N471">
        <v>3384.9</v>
      </c>
    </row>
    <row r="472" spans="1:14">
      <c r="A472" t="s">
        <v>1813</v>
      </c>
      <c r="B472" s="5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5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5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5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4296</v>
      </c>
      <c r="M475" t="s">
        <v>45</v>
      </c>
      <c r="N475">
        <v>29.86</v>
      </c>
    </row>
    <row r="476" spans="1:14">
      <c r="A476" t="s">
        <v>1829</v>
      </c>
      <c r="B476" s="5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5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5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5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5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5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4296</v>
      </c>
      <c r="M481" t="s">
        <v>76</v>
      </c>
      <c r="N481">
        <v>101.16</v>
      </c>
    </row>
    <row r="482" spans="1:14">
      <c r="A482" t="s">
        <v>1851</v>
      </c>
      <c r="B482" s="5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5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5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4296</v>
      </c>
      <c r="M484" t="s">
        <v>22</v>
      </c>
      <c r="N484">
        <v>1144.23</v>
      </c>
    </row>
    <row r="485" spans="1:14">
      <c r="A485" t="s">
        <v>1860</v>
      </c>
      <c r="B485" s="5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5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4296</v>
      </c>
      <c r="M486" t="s">
        <v>45</v>
      </c>
      <c r="N486">
        <v>60.04</v>
      </c>
    </row>
    <row r="487" spans="1:14">
      <c r="A487" t="s">
        <v>1867</v>
      </c>
      <c r="B487" s="5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5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5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5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5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5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4296</v>
      </c>
      <c r="M492" t="s">
        <v>45</v>
      </c>
      <c r="N492">
        <v>2339.0500000000002</v>
      </c>
    </row>
    <row r="493" spans="1:14">
      <c r="A493" t="s">
        <v>1889</v>
      </c>
      <c r="B493" s="5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5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5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5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5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5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5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4296</v>
      </c>
      <c r="M499" t="s">
        <v>76</v>
      </c>
      <c r="N499">
        <v>336.87</v>
      </c>
    </row>
    <row r="500" spans="1:14">
      <c r="A500" t="s">
        <v>1914</v>
      </c>
      <c r="B500" s="5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5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5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5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5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5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5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5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4296</v>
      </c>
      <c r="M507" t="s">
        <v>38</v>
      </c>
      <c r="N507">
        <v>869.94</v>
      </c>
    </row>
    <row r="508" spans="1:14">
      <c r="A508" t="s">
        <v>1943</v>
      </c>
      <c r="B508" s="5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5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5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4296</v>
      </c>
      <c r="M510" t="s">
        <v>29</v>
      </c>
      <c r="N510">
        <v>558.27</v>
      </c>
    </row>
    <row r="511" spans="1:14">
      <c r="A511" t="s">
        <v>1954</v>
      </c>
      <c r="B511" s="5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5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5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5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5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4296</v>
      </c>
      <c r="M515" t="s">
        <v>29</v>
      </c>
      <c r="N515">
        <v>284.64</v>
      </c>
    </row>
    <row r="516" spans="1:14">
      <c r="A516" t="s">
        <v>1971</v>
      </c>
      <c r="B516" s="5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>
      <c r="A517" t="s">
        <v>1974</v>
      </c>
      <c r="B517" s="5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5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4296</v>
      </c>
      <c r="M518" t="s">
        <v>45</v>
      </c>
      <c r="N518">
        <v>500.97</v>
      </c>
    </row>
    <row r="519" spans="1:14">
      <c r="A519" t="s">
        <v>1980</v>
      </c>
      <c r="B519" s="5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5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5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5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4296</v>
      </c>
      <c r="M522" t="s">
        <v>29</v>
      </c>
      <c r="N522">
        <v>1907.94</v>
      </c>
    </row>
    <row r="523" spans="1:14">
      <c r="A523" t="s">
        <v>1994</v>
      </c>
      <c r="B523" s="5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4296</v>
      </c>
      <c r="M523" t="s">
        <v>45</v>
      </c>
      <c r="N523">
        <v>528.05999999999995</v>
      </c>
    </row>
    <row r="524" spans="1:14">
      <c r="A524" t="s">
        <v>1998</v>
      </c>
      <c r="B524" s="5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5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5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4296</v>
      </c>
      <c r="M526" t="s">
        <v>29</v>
      </c>
      <c r="N526">
        <v>153</v>
      </c>
    </row>
    <row r="527" spans="1:14">
      <c r="A527" t="s">
        <v>2007</v>
      </c>
      <c r="B527" s="5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5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5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5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5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5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4296</v>
      </c>
      <c r="M532" t="s">
        <v>76</v>
      </c>
      <c r="N532">
        <v>357.64</v>
      </c>
    </row>
    <row r="533" spans="1:14">
      <c r="A533" t="s">
        <v>2027</v>
      </c>
      <c r="B533" s="5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4296</v>
      </c>
      <c r="M533" t="s">
        <v>29</v>
      </c>
      <c r="N533">
        <v>1600.05</v>
      </c>
    </row>
    <row r="534" spans="1:14">
      <c r="A534" t="s">
        <v>2031</v>
      </c>
      <c r="B534" s="5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4296</v>
      </c>
      <c r="M534" t="s">
        <v>38</v>
      </c>
      <c r="N534">
        <v>82</v>
      </c>
    </row>
    <row r="535" spans="1:14">
      <c r="A535" t="s">
        <v>2035</v>
      </c>
      <c r="B535" s="5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5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5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5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4296</v>
      </c>
      <c r="M538" t="s">
        <v>38</v>
      </c>
      <c r="N538">
        <v>616.1</v>
      </c>
    </row>
    <row r="539" spans="1:14">
      <c r="A539" t="s">
        <v>2049</v>
      </c>
      <c r="B539" s="5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5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5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5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4296</v>
      </c>
      <c r="M542" t="s">
        <v>29</v>
      </c>
      <c r="N542">
        <v>3243.25</v>
      </c>
    </row>
    <row r="543" spans="1:14">
      <c r="A543" t="s">
        <v>2064</v>
      </c>
      <c r="B543" s="5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4296</v>
      </c>
      <c r="M543" t="s">
        <v>22</v>
      </c>
      <c r="N543">
        <v>2280.3000000000002</v>
      </c>
    </row>
    <row r="544" spans="1:14">
      <c r="A544" t="s">
        <v>2068</v>
      </c>
      <c r="B544" s="5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5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5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5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4296</v>
      </c>
      <c r="M547" t="s">
        <v>22</v>
      </c>
      <c r="N547">
        <v>196.94</v>
      </c>
    </row>
    <row r="548" spans="1:14">
      <c r="A548" t="s">
        <v>2081</v>
      </c>
      <c r="B548" s="5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5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5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5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5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5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5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5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5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5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4296</v>
      </c>
      <c r="M557" t="s">
        <v>45</v>
      </c>
      <c r="N557">
        <v>92.04</v>
      </c>
    </row>
    <row r="558" spans="1:14">
      <c r="A558" t="s">
        <v>2114</v>
      </c>
      <c r="B558" s="5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5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5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5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5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4296</v>
      </c>
      <c r="M562" t="s">
        <v>38</v>
      </c>
      <c r="N562">
        <v>2355.4</v>
      </c>
    </row>
    <row r="563" spans="1:14">
      <c r="A563" t="s">
        <v>2133</v>
      </c>
      <c r="B563" s="5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4296</v>
      </c>
      <c r="M563" t="s">
        <v>76</v>
      </c>
      <c r="N563">
        <v>989.56</v>
      </c>
    </row>
    <row r="564" spans="1:14">
      <c r="A564" t="s">
        <v>2137</v>
      </c>
      <c r="B564" s="5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5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5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5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4296</v>
      </c>
      <c r="M567" t="s">
        <v>45</v>
      </c>
      <c r="N567">
        <v>1539.9</v>
      </c>
    </row>
    <row r="568" spans="1:14">
      <c r="A568" t="s">
        <v>2151</v>
      </c>
      <c r="B568" s="5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5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5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4296</v>
      </c>
      <c r="M570" t="s">
        <v>76</v>
      </c>
      <c r="N570">
        <v>687.98</v>
      </c>
    </row>
    <row r="571" spans="1:14">
      <c r="A571" t="s">
        <v>2161</v>
      </c>
      <c r="B571" s="5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5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5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5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5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4296</v>
      </c>
      <c r="M575" t="s">
        <v>22</v>
      </c>
      <c r="N575">
        <v>2107.1</v>
      </c>
    </row>
    <row r="576" spans="1:14">
      <c r="A576" t="s">
        <v>2176</v>
      </c>
      <c r="B576" s="5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5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5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4296</v>
      </c>
      <c r="M578" t="s">
        <v>45</v>
      </c>
      <c r="N578">
        <v>395.4</v>
      </c>
    </row>
    <row r="579" spans="1:14">
      <c r="A579" t="s">
        <v>2186</v>
      </c>
      <c r="B579" s="5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5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5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5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5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4296</v>
      </c>
      <c r="M583" t="s">
        <v>29</v>
      </c>
      <c r="N583">
        <v>627.34</v>
      </c>
    </row>
    <row r="584" spans="1:14">
      <c r="A584" t="s">
        <v>2202</v>
      </c>
      <c r="B584" s="5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5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4296</v>
      </c>
      <c r="M585" t="s">
        <v>22</v>
      </c>
      <c r="N585">
        <v>463.11</v>
      </c>
    </row>
    <row r="586" spans="1:14">
      <c r="A586" t="s">
        <v>2208</v>
      </c>
      <c r="B586" s="5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5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5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5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5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4296</v>
      </c>
      <c r="M590" t="s">
        <v>76</v>
      </c>
      <c r="N590">
        <v>2311.2800000000002</v>
      </c>
    </row>
    <row r="591" spans="1:14">
      <c r="A591" t="s">
        <v>2226</v>
      </c>
      <c r="B591" s="5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5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4296</v>
      </c>
      <c r="M592" t="s">
        <v>38</v>
      </c>
      <c r="N592">
        <v>922.26</v>
      </c>
    </row>
    <row r="593" spans="1:14">
      <c r="A593" t="s">
        <v>2234</v>
      </c>
      <c r="B593" s="5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5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4296</v>
      </c>
      <c r="M594" t="s">
        <v>76</v>
      </c>
      <c r="N594">
        <v>612.80999999999995</v>
      </c>
    </row>
    <row r="595" spans="1:14">
      <c r="A595" t="s">
        <v>2241</v>
      </c>
      <c r="B595" s="5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5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4296</v>
      </c>
      <c r="M596" t="s">
        <v>38</v>
      </c>
      <c r="N596">
        <v>363.2</v>
      </c>
    </row>
    <row r="597" spans="1:14">
      <c r="A597" t="s">
        <v>2247</v>
      </c>
      <c r="B597" s="5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5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5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5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4296</v>
      </c>
      <c r="M600" t="s">
        <v>45</v>
      </c>
      <c r="N600">
        <v>2476.75</v>
      </c>
    </row>
    <row r="601" spans="1:14">
      <c r="A601" t="s">
        <v>2262</v>
      </c>
      <c r="B601" s="5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5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5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4296</v>
      </c>
      <c r="M603" t="s">
        <v>29</v>
      </c>
      <c r="N603">
        <v>124.1</v>
      </c>
    </row>
    <row r="604" spans="1:14">
      <c r="A604" t="s">
        <v>2272</v>
      </c>
      <c r="B604" s="5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5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5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4296</v>
      </c>
      <c r="M606" t="s">
        <v>45</v>
      </c>
      <c r="N606">
        <v>97.86</v>
      </c>
    </row>
    <row r="607" spans="1:14">
      <c r="A607" t="s">
        <v>2281</v>
      </c>
      <c r="B607" s="5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5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5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5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5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5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5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5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4296</v>
      </c>
      <c r="M614" t="s">
        <v>76</v>
      </c>
      <c r="N614">
        <v>1335.36</v>
      </c>
    </row>
    <row r="615" spans="1:14">
      <c r="A615" t="s">
        <v>2309</v>
      </c>
      <c r="B615" s="5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5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4296</v>
      </c>
      <c r="M616" t="s">
        <v>29</v>
      </c>
      <c r="N616">
        <v>96.81</v>
      </c>
    </row>
    <row r="617" spans="1:14">
      <c r="A617" t="s">
        <v>2316</v>
      </c>
      <c r="B617" s="5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5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5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4296</v>
      </c>
      <c r="M619" t="s">
        <v>29</v>
      </c>
      <c r="N619">
        <v>553.41</v>
      </c>
    </row>
    <row r="620" spans="1:14">
      <c r="A620" t="s">
        <v>2327</v>
      </c>
      <c r="B620" s="5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4296</v>
      </c>
      <c r="M620" t="s">
        <v>22</v>
      </c>
      <c r="N620">
        <v>411.34</v>
      </c>
    </row>
    <row r="621" spans="1:14">
      <c r="A621" t="s">
        <v>2331</v>
      </c>
      <c r="B621" s="5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4296</v>
      </c>
      <c r="M621" t="s">
        <v>29</v>
      </c>
      <c r="N621">
        <v>532.89</v>
      </c>
    </row>
    <row r="622" spans="1:14">
      <c r="A622" t="s">
        <v>2334</v>
      </c>
      <c r="B622" s="5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5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5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4296</v>
      </c>
      <c r="M624" t="s">
        <v>45</v>
      </c>
      <c r="N624">
        <v>1181.9000000000001</v>
      </c>
    </row>
    <row r="625" spans="1:14">
      <c r="A625" t="s">
        <v>2344</v>
      </c>
      <c r="B625" s="5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5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4296</v>
      </c>
      <c r="M626" t="s">
        <v>38</v>
      </c>
      <c r="N626">
        <v>1709.8</v>
      </c>
    </row>
    <row r="627" spans="1:14">
      <c r="A627" t="s">
        <v>2351</v>
      </c>
      <c r="B627" s="5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5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5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5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5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4296</v>
      </c>
      <c r="M631" t="s">
        <v>29</v>
      </c>
      <c r="N631">
        <v>59.19</v>
      </c>
    </row>
    <row r="632" spans="1:14">
      <c r="A632" t="s">
        <v>2369</v>
      </c>
      <c r="B632" s="5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4296</v>
      </c>
      <c r="M632" t="s">
        <v>22</v>
      </c>
      <c r="N632">
        <v>1244.2</v>
      </c>
    </row>
    <row r="633" spans="1:14">
      <c r="A633" t="s">
        <v>2373</v>
      </c>
      <c r="B633" s="5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5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5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5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5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4296</v>
      </c>
      <c r="M637" t="s">
        <v>45</v>
      </c>
      <c r="N637">
        <v>191.04</v>
      </c>
    </row>
    <row r="638" spans="1:14">
      <c r="A638" t="s">
        <v>2389</v>
      </c>
      <c r="B638" s="5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5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5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5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4296</v>
      </c>
      <c r="M641" t="s">
        <v>29</v>
      </c>
      <c r="N641">
        <v>529.19000000000005</v>
      </c>
    </row>
    <row r="642" spans="1:14">
      <c r="A642" t="s">
        <v>2403</v>
      </c>
      <c r="B642" s="5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5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5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5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5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5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5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5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5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5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5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5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4296</v>
      </c>
      <c r="M653" t="s">
        <v>76</v>
      </c>
      <c r="N653">
        <v>1939.02</v>
      </c>
    </row>
    <row r="654" spans="1:14">
      <c r="A654" t="s">
        <v>2444</v>
      </c>
      <c r="B654" s="5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5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5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4296</v>
      </c>
      <c r="M656" t="s">
        <v>22</v>
      </c>
      <c r="N656">
        <v>1147.1099999999999</v>
      </c>
    </row>
    <row r="657" spans="1:14">
      <c r="A657" t="s">
        <v>2455</v>
      </c>
      <c r="B657" s="5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5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5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5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5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5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5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5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4296</v>
      </c>
      <c r="M664" t="s">
        <v>45</v>
      </c>
      <c r="N664">
        <v>1316.67</v>
      </c>
    </row>
    <row r="665" spans="1:14">
      <c r="A665" t="s">
        <v>2482</v>
      </c>
      <c r="B665" s="5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5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4296</v>
      </c>
      <c r="M666" t="s">
        <v>45</v>
      </c>
      <c r="N666">
        <v>779</v>
      </c>
    </row>
    <row r="667" spans="1:14">
      <c r="A667" t="s">
        <v>2488</v>
      </c>
      <c r="B667" s="5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5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4296</v>
      </c>
      <c r="M668" t="s">
        <v>38</v>
      </c>
      <c r="N668">
        <v>1308.48</v>
      </c>
    </row>
    <row r="669" spans="1:14">
      <c r="A669" t="s">
        <v>2495</v>
      </c>
      <c r="B669" s="5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5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5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4296</v>
      </c>
      <c r="M671" t="s">
        <v>29</v>
      </c>
      <c r="N671">
        <v>257</v>
      </c>
    </row>
    <row r="672" spans="1:14">
      <c r="A672" t="s">
        <v>2505</v>
      </c>
      <c r="B672" s="5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5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5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5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5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5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4296</v>
      </c>
      <c r="M677" t="s">
        <v>38</v>
      </c>
      <c r="N677">
        <v>1026.06</v>
      </c>
    </row>
    <row r="678" spans="1:14">
      <c r="A678" t="s">
        <v>2524</v>
      </c>
      <c r="B678" s="5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5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5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5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5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4296</v>
      </c>
      <c r="M682" t="s">
        <v>45</v>
      </c>
      <c r="N682">
        <v>1390.17</v>
      </c>
    </row>
    <row r="683" spans="1:14">
      <c r="A683" t="s">
        <v>2540</v>
      </c>
      <c r="B683" s="5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4296</v>
      </c>
      <c r="M683" t="s">
        <v>38</v>
      </c>
      <c r="N683">
        <v>155.27000000000001</v>
      </c>
    </row>
    <row r="684" spans="1:14">
      <c r="A684" t="s">
        <v>2544</v>
      </c>
      <c r="B684" s="5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5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5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4296</v>
      </c>
      <c r="M686" t="s">
        <v>38</v>
      </c>
      <c r="N686">
        <v>139.36000000000001</v>
      </c>
    </row>
    <row r="687" spans="1:14">
      <c r="A687" t="s">
        <v>2555</v>
      </c>
      <c r="B687" s="5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5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5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5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5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4296</v>
      </c>
      <c r="M691" t="s">
        <v>45</v>
      </c>
      <c r="N691">
        <v>889.68</v>
      </c>
    </row>
    <row r="692" spans="1:14">
      <c r="A692" t="s">
        <v>2574</v>
      </c>
      <c r="B692" s="5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4296</v>
      </c>
      <c r="M692" t="s">
        <v>22</v>
      </c>
      <c r="N692">
        <v>24.48</v>
      </c>
    </row>
    <row r="693" spans="1:14">
      <c r="A693" t="s">
        <v>2577</v>
      </c>
      <c r="B693" s="5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4296</v>
      </c>
      <c r="M693" t="s">
        <v>76</v>
      </c>
      <c r="N693">
        <v>717.24</v>
      </c>
    </row>
    <row r="694" spans="1:14">
      <c r="A694" t="s">
        <v>2581</v>
      </c>
      <c r="B694" s="5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5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4296</v>
      </c>
      <c r="M695" t="s">
        <v>29</v>
      </c>
      <c r="N695">
        <v>176.58</v>
      </c>
    </row>
    <row r="696" spans="1:14">
      <c r="A696" t="s">
        <v>2588</v>
      </c>
      <c r="B696" s="5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5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5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5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5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5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4296</v>
      </c>
      <c r="M701" t="s">
        <v>45</v>
      </c>
      <c r="N701">
        <v>1842.45</v>
      </c>
    </row>
    <row r="702" spans="1:14">
      <c r="A702" t="s">
        <v>2608</v>
      </c>
      <c r="B702" s="5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5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5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4296</v>
      </c>
      <c r="M704" t="s">
        <v>38</v>
      </c>
      <c r="N704">
        <v>1687.65</v>
      </c>
    </row>
    <row r="705" spans="1:14">
      <c r="A705" t="s">
        <v>2618</v>
      </c>
      <c r="B705" s="5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5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5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5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5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5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5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5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4296</v>
      </c>
      <c r="M712" t="s">
        <v>76</v>
      </c>
      <c r="N712">
        <v>107.7</v>
      </c>
    </row>
    <row r="713" spans="1:14">
      <c r="A713" t="s">
        <v>2646</v>
      </c>
      <c r="B713" s="5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5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5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5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5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5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5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5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5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5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5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4296</v>
      </c>
      <c r="M723" t="s">
        <v>38</v>
      </c>
      <c r="N723">
        <v>237.18</v>
      </c>
    </row>
    <row r="724" spans="1:14">
      <c r="A724" t="s">
        <v>2686</v>
      </c>
      <c r="B724" s="5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5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5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5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4296</v>
      </c>
      <c r="M727" t="s">
        <v>29</v>
      </c>
      <c r="N727">
        <v>389.7</v>
      </c>
    </row>
    <row r="728" spans="1:14">
      <c r="A728" t="s">
        <v>2698</v>
      </c>
      <c r="B728" s="5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5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5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5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5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5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4296</v>
      </c>
      <c r="M733" t="s">
        <v>38</v>
      </c>
      <c r="N733">
        <v>2922.3</v>
      </c>
    </row>
    <row r="734" spans="1:14">
      <c r="A734" t="s">
        <v>2719</v>
      </c>
      <c r="B734" s="5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4296</v>
      </c>
      <c r="M734" t="s">
        <v>76</v>
      </c>
      <c r="N734">
        <v>132.05000000000001</v>
      </c>
    </row>
    <row r="735" spans="1:14">
      <c r="A735" t="s">
        <v>2722</v>
      </c>
      <c r="B735" s="5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5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5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4296</v>
      </c>
      <c r="M737" t="s">
        <v>38</v>
      </c>
      <c r="N737">
        <v>176.28</v>
      </c>
    </row>
    <row r="738" spans="1:14">
      <c r="A738" t="s">
        <v>2731</v>
      </c>
      <c r="B738" s="5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5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5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5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5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4296</v>
      </c>
      <c r="M742" t="s">
        <v>76</v>
      </c>
      <c r="N742">
        <v>754.94</v>
      </c>
    </row>
    <row r="743" spans="1:14">
      <c r="A743" t="s">
        <v>2748</v>
      </c>
      <c r="B743" s="5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4296</v>
      </c>
      <c r="M743" t="s">
        <v>29</v>
      </c>
      <c r="N743">
        <v>1663.2</v>
      </c>
    </row>
    <row r="744" spans="1:14">
      <c r="A744" t="s">
        <v>2752</v>
      </c>
      <c r="B744" s="5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5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5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5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5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5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5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5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5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5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5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5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5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5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4296</v>
      </c>
      <c r="M757" t="s">
        <v>38</v>
      </c>
      <c r="N757">
        <v>1010.13</v>
      </c>
    </row>
    <row r="758" spans="1:14">
      <c r="A758" t="s">
        <v>2804</v>
      </c>
      <c r="B758" s="5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4296</v>
      </c>
      <c r="M758" t="s">
        <v>76</v>
      </c>
      <c r="N758">
        <v>283.69</v>
      </c>
    </row>
    <row r="759" spans="1:14">
      <c r="A759" t="s">
        <v>2807</v>
      </c>
      <c r="B759" s="5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5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5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5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4296</v>
      </c>
      <c r="M762" t="s">
        <v>76</v>
      </c>
      <c r="N762">
        <v>39.56</v>
      </c>
    </row>
    <row r="763" spans="1:14">
      <c r="A763" t="s">
        <v>2820</v>
      </c>
      <c r="B763" s="5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4296</v>
      </c>
      <c r="M763" t="s">
        <v>76</v>
      </c>
      <c r="N763">
        <v>151.04</v>
      </c>
    </row>
    <row r="764" spans="1:14">
      <c r="A764" t="s">
        <v>2824</v>
      </c>
      <c r="B764" s="5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5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5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5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5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5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4296</v>
      </c>
      <c r="M769" t="s">
        <v>22</v>
      </c>
      <c r="N769">
        <v>646.44000000000005</v>
      </c>
    </row>
    <row r="770" spans="1:14">
      <c r="A770" t="s">
        <v>2843</v>
      </c>
      <c r="B770" s="5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5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4296</v>
      </c>
      <c r="M771" t="s">
        <v>38</v>
      </c>
      <c r="N771">
        <v>2714.2</v>
      </c>
    </row>
    <row r="772" spans="1:14">
      <c r="A772" t="s">
        <v>2850</v>
      </c>
      <c r="B772" s="5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4296</v>
      </c>
      <c r="M772" t="s">
        <v>76</v>
      </c>
      <c r="N772">
        <v>314.38</v>
      </c>
    </row>
    <row r="773" spans="1:14">
      <c r="A773" t="s">
        <v>2853</v>
      </c>
      <c r="B773" s="5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5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4296</v>
      </c>
      <c r="M774" t="s">
        <v>22</v>
      </c>
      <c r="N774">
        <v>604.87</v>
      </c>
    </row>
    <row r="775" spans="1:14">
      <c r="A775" t="s">
        <v>2860</v>
      </c>
      <c r="B775" s="5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4296</v>
      </c>
      <c r="M775" t="s">
        <v>45</v>
      </c>
      <c r="N775">
        <v>1024.6600000000001</v>
      </c>
    </row>
    <row r="776" spans="1:14">
      <c r="A776" t="s">
        <v>2864</v>
      </c>
      <c r="B776" s="5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5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4296</v>
      </c>
      <c r="M777" t="s">
        <v>76</v>
      </c>
      <c r="N777">
        <v>1250.44</v>
      </c>
    </row>
    <row r="778" spans="1:14">
      <c r="A778" t="s">
        <v>2871</v>
      </c>
      <c r="B778" s="5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5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4296</v>
      </c>
      <c r="M779" t="s">
        <v>45</v>
      </c>
      <c r="N779">
        <v>322.45</v>
      </c>
    </row>
    <row r="780" spans="1:14">
      <c r="A780" t="s">
        <v>2878</v>
      </c>
      <c r="B780" s="5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5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5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5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5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5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5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5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5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4296</v>
      </c>
      <c r="M788" t="s">
        <v>29</v>
      </c>
      <c r="N788">
        <v>226.55</v>
      </c>
    </row>
    <row r="789" spans="1:14">
      <c r="A789" t="s">
        <v>2909</v>
      </c>
      <c r="B789" s="5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4296</v>
      </c>
      <c r="M789" t="s">
        <v>76</v>
      </c>
      <c r="N789">
        <v>887.84</v>
      </c>
    </row>
    <row r="790" spans="1:14">
      <c r="A790" t="s">
        <v>2913</v>
      </c>
      <c r="B790" s="5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5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5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4296</v>
      </c>
      <c r="M792" t="s">
        <v>76</v>
      </c>
      <c r="N792">
        <v>1671.56</v>
      </c>
    </row>
    <row r="793" spans="1:14">
      <c r="A793" t="s">
        <v>2925</v>
      </c>
      <c r="B793" s="5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4296</v>
      </c>
      <c r="M793" t="s">
        <v>38</v>
      </c>
      <c r="N793">
        <v>1637.12</v>
      </c>
    </row>
    <row r="794" spans="1:14">
      <c r="A794" t="s">
        <v>2928</v>
      </c>
      <c r="B794" s="5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5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4296</v>
      </c>
      <c r="M795" t="s">
        <v>29</v>
      </c>
      <c r="N795">
        <v>851.1</v>
      </c>
    </row>
    <row r="796" spans="1:14">
      <c r="A796" t="s">
        <v>2935</v>
      </c>
      <c r="B796" s="5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5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5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5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4296</v>
      </c>
      <c r="M799" t="s">
        <v>45</v>
      </c>
      <c r="N799">
        <v>877.52</v>
      </c>
    </row>
    <row r="800" spans="1:14">
      <c r="A800" t="s">
        <v>2950</v>
      </c>
      <c r="B800" s="5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5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5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5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5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5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5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5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5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5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5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4296</v>
      </c>
      <c r="M810" t="s">
        <v>76</v>
      </c>
      <c r="N810">
        <v>402.15</v>
      </c>
    </row>
    <row r="811" spans="1:14">
      <c r="A811" t="s">
        <v>2989</v>
      </c>
      <c r="B811" s="5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5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4296</v>
      </c>
      <c r="M812" t="s">
        <v>29</v>
      </c>
      <c r="N812">
        <v>553.55999999999995</v>
      </c>
    </row>
    <row r="813" spans="1:14">
      <c r="A813" t="s">
        <v>2996</v>
      </c>
      <c r="B813" s="5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5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5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5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5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5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5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5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5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5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5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5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5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5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5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5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5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5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5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5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5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4296</v>
      </c>
      <c r="M833" t="s">
        <v>76</v>
      </c>
      <c r="N833">
        <v>177.46</v>
      </c>
    </row>
    <row r="834" spans="1:14">
      <c r="A834" t="s">
        <v>3069</v>
      </c>
      <c r="B834" s="5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5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5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4296</v>
      </c>
      <c r="M836" t="s">
        <v>22</v>
      </c>
      <c r="N836">
        <v>110.7</v>
      </c>
    </row>
    <row r="837" spans="1:14">
      <c r="A837" t="s">
        <v>3079</v>
      </c>
      <c r="B837" s="5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5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5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4296</v>
      </c>
      <c r="M839" t="s">
        <v>38</v>
      </c>
      <c r="N839">
        <v>3277.75</v>
      </c>
    </row>
    <row r="840" spans="1:14">
      <c r="A840" t="s">
        <v>3089</v>
      </c>
      <c r="B840" s="5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4296</v>
      </c>
      <c r="M840" t="s">
        <v>45</v>
      </c>
      <c r="N840">
        <v>2308.3200000000002</v>
      </c>
    </row>
    <row r="841" spans="1:14">
      <c r="A841" t="s">
        <v>3092</v>
      </c>
      <c r="B841" s="5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4296</v>
      </c>
      <c r="M841" t="s">
        <v>76</v>
      </c>
      <c r="N841">
        <v>593.91</v>
      </c>
    </row>
    <row r="842" spans="1:14">
      <c r="A842" t="s">
        <v>3095</v>
      </c>
      <c r="B842" s="5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5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4296</v>
      </c>
      <c r="M843" t="s">
        <v>45</v>
      </c>
      <c r="N843">
        <v>886.44</v>
      </c>
    </row>
    <row r="844" spans="1:14">
      <c r="A844" t="s">
        <v>3102</v>
      </c>
      <c r="B844" s="5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5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5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5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5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4296</v>
      </c>
      <c r="M848" t="s">
        <v>29</v>
      </c>
      <c r="N848">
        <v>719.72</v>
      </c>
    </row>
    <row r="849" spans="1:14">
      <c r="A849" t="s">
        <v>3121</v>
      </c>
      <c r="B849" s="5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5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4296</v>
      </c>
      <c r="M850" t="s">
        <v>29</v>
      </c>
      <c r="N850">
        <v>1291.7</v>
      </c>
    </row>
    <row r="851" spans="1:14">
      <c r="A851" t="s">
        <v>3127</v>
      </c>
      <c r="B851" s="5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5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5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5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5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5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5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5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4296</v>
      </c>
      <c r="M858" t="s">
        <v>45</v>
      </c>
      <c r="N858">
        <v>586.62</v>
      </c>
    </row>
    <row r="859" spans="1:14">
      <c r="A859" t="s">
        <v>3152</v>
      </c>
      <c r="B859" s="5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4296</v>
      </c>
      <c r="M859" t="s">
        <v>22</v>
      </c>
      <c r="N859">
        <v>773.52</v>
      </c>
    </row>
    <row r="860" spans="1:14">
      <c r="A860" t="s">
        <v>3155</v>
      </c>
      <c r="B860" s="5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4296</v>
      </c>
      <c r="M860" t="s">
        <v>45</v>
      </c>
      <c r="N860">
        <v>2178.3000000000002</v>
      </c>
    </row>
    <row r="861" spans="1:14">
      <c r="A861" t="s">
        <v>3158</v>
      </c>
      <c r="B861" s="5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5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5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5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5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5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5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5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5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5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4296</v>
      </c>
      <c r="M870" t="s">
        <v>45</v>
      </c>
      <c r="N870">
        <v>1265.28</v>
      </c>
    </row>
    <row r="871" spans="1:14">
      <c r="A871" t="s">
        <v>3194</v>
      </c>
      <c r="B871" s="5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5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5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3205</v>
      </c>
      <c r="B874" s="5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4296</v>
      </c>
      <c r="M874" t="s">
        <v>38</v>
      </c>
      <c r="N874">
        <v>2517.36</v>
      </c>
    </row>
    <row r="875" spans="1:14">
      <c r="A875" t="s">
        <v>3208</v>
      </c>
      <c r="B875" s="5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5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5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3218</v>
      </c>
      <c r="B878" s="5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5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5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5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4296</v>
      </c>
      <c r="M881" t="s">
        <v>22</v>
      </c>
      <c r="N881">
        <v>1095.3399999999999</v>
      </c>
    </row>
    <row r="882" spans="1:14">
      <c r="A882" t="s">
        <v>3231</v>
      </c>
      <c r="B882" s="5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5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4296</v>
      </c>
      <c r="M883" t="s">
        <v>22</v>
      </c>
      <c r="N883">
        <v>897.7</v>
      </c>
    </row>
    <row r="884" spans="1:14">
      <c r="A884" t="s">
        <v>3238</v>
      </c>
      <c r="B884" s="5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5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5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4296</v>
      </c>
      <c r="M886" t="s">
        <v>22</v>
      </c>
      <c r="N886">
        <v>595.54</v>
      </c>
    </row>
    <row r="887" spans="1:14">
      <c r="A887" t="s">
        <v>3249</v>
      </c>
      <c r="B887" s="5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5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4296</v>
      </c>
      <c r="M888" t="s">
        <v>76</v>
      </c>
      <c r="N888">
        <v>460.13</v>
      </c>
    </row>
    <row r="889" spans="1:14">
      <c r="A889" t="s">
        <v>3257</v>
      </c>
      <c r="B889" s="5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4296</v>
      </c>
      <c r="M889" t="s">
        <v>76</v>
      </c>
      <c r="N889">
        <v>514.98</v>
      </c>
    </row>
    <row r="890" spans="1:14">
      <c r="A890" t="s">
        <v>3261</v>
      </c>
      <c r="B890" s="5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4296</v>
      </c>
      <c r="M890" t="s">
        <v>22</v>
      </c>
      <c r="N890">
        <v>533.9</v>
      </c>
    </row>
    <row r="891" spans="1:14">
      <c r="A891" t="s">
        <v>3265</v>
      </c>
      <c r="B891" s="5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5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4296</v>
      </c>
      <c r="M892" t="s">
        <v>76</v>
      </c>
      <c r="N892">
        <v>1318.59</v>
      </c>
    </row>
    <row r="893" spans="1:14">
      <c r="A893" t="s">
        <v>3272</v>
      </c>
      <c r="B893" s="5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5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5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5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5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5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5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5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4296</v>
      </c>
      <c r="M900" t="s">
        <v>29</v>
      </c>
      <c r="N900">
        <v>475.11</v>
      </c>
    </row>
    <row r="901" spans="1:14">
      <c r="A901" t="s">
        <v>3299</v>
      </c>
      <c r="B901" s="5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5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4296</v>
      </c>
      <c r="M902" t="s">
        <v>22</v>
      </c>
      <c r="N902">
        <v>369.15</v>
      </c>
    </row>
    <row r="903" spans="1:14">
      <c r="A903" t="s">
        <v>3305</v>
      </c>
      <c r="B903" s="5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5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4296</v>
      </c>
      <c r="M904" t="s">
        <v>45</v>
      </c>
      <c r="N904">
        <v>721</v>
      </c>
    </row>
    <row r="905" spans="1:14">
      <c r="A905" t="s">
        <v>3311</v>
      </c>
      <c r="B905" s="5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4296</v>
      </c>
      <c r="M905" t="s">
        <v>38</v>
      </c>
      <c r="N905">
        <v>1420.47</v>
      </c>
    </row>
    <row r="906" spans="1:14">
      <c r="A906" t="s">
        <v>3314</v>
      </c>
      <c r="B906" s="5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5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5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4296</v>
      </c>
      <c r="M908" t="s">
        <v>38</v>
      </c>
      <c r="N908">
        <v>62.12</v>
      </c>
    </row>
    <row r="909" spans="1:14">
      <c r="A909" t="s">
        <v>3324</v>
      </c>
      <c r="B909" s="5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5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5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5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5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5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5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5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5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5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4296</v>
      </c>
      <c r="M918" t="s">
        <v>29</v>
      </c>
      <c r="N918">
        <v>2894.15</v>
      </c>
    </row>
    <row r="919" spans="1:14">
      <c r="A919" t="s">
        <v>3355</v>
      </c>
      <c r="B919" s="5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5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4296</v>
      </c>
      <c r="M920" t="s">
        <v>22</v>
      </c>
      <c r="N920">
        <v>1841.25</v>
      </c>
    </row>
    <row r="921" spans="1:14">
      <c r="A921" t="s">
        <v>3362</v>
      </c>
      <c r="B921" s="5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5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4296</v>
      </c>
      <c r="M922" t="s">
        <v>22</v>
      </c>
      <c r="N922">
        <v>856.18</v>
      </c>
    </row>
    <row r="923" spans="1:14">
      <c r="A923" t="s">
        <v>3368</v>
      </c>
      <c r="B923" s="5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5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4296</v>
      </c>
      <c r="M924" t="s">
        <v>22</v>
      </c>
      <c r="N924">
        <v>1127.6400000000001</v>
      </c>
    </row>
    <row r="925" spans="1:14">
      <c r="A925" t="s">
        <v>3376</v>
      </c>
      <c r="B925" s="5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5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5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5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5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5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5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4296</v>
      </c>
      <c r="M931" t="s">
        <v>38</v>
      </c>
      <c r="N931">
        <v>1072.5</v>
      </c>
    </row>
    <row r="932" spans="1:14">
      <c r="A932" t="s">
        <v>3397</v>
      </c>
      <c r="B932" s="5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5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5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5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4296</v>
      </c>
      <c r="M935" t="s">
        <v>29</v>
      </c>
      <c r="N935">
        <v>788.32</v>
      </c>
    </row>
    <row r="936" spans="1:14">
      <c r="A936" t="s">
        <v>3410</v>
      </c>
      <c r="B936" s="5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5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5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5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5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>
      <c r="A941" t="s">
        <v>3425</v>
      </c>
      <c r="B941" s="5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5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5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5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4296</v>
      </c>
      <c r="M944" t="s">
        <v>38</v>
      </c>
      <c r="N944">
        <v>479.76</v>
      </c>
    </row>
    <row r="945" spans="1:14">
      <c r="A945" t="s">
        <v>3438</v>
      </c>
      <c r="B945" s="5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5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5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5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5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5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4296</v>
      </c>
      <c r="M950" t="s">
        <v>76</v>
      </c>
      <c r="N950">
        <v>1188.1400000000001</v>
      </c>
    </row>
    <row r="951" spans="1:14">
      <c r="A951" t="s">
        <v>3456</v>
      </c>
      <c r="B951" s="5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4296</v>
      </c>
      <c r="M951" t="s">
        <v>29</v>
      </c>
      <c r="N951">
        <v>551.9</v>
      </c>
    </row>
    <row r="952" spans="1:14">
      <c r="A952" t="s">
        <v>3459</v>
      </c>
      <c r="B952" s="5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5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5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4296</v>
      </c>
      <c r="M954" t="s">
        <v>45</v>
      </c>
      <c r="N954">
        <v>1510.17</v>
      </c>
    </row>
    <row r="955" spans="1:14">
      <c r="A955" t="s">
        <v>3469</v>
      </c>
      <c r="B955" s="5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5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5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5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5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5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5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5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5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4296</v>
      </c>
      <c r="M963" t="s">
        <v>45</v>
      </c>
      <c r="N963">
        <v>601.36</v>
      </c>
    </row>
    <row r="964" spans="1:14">
      <c r="A964" t="s">
        <v>3497</v>
      </c>
      <c r="B964" s="5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5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5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5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5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5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5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5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5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5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5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5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5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4296</v>
      </c>
      <c r="M976" t="s">
        <v>38</v>
      </c>
      <c r="N976">
        <v>1333.9</v>
      </c>
    </row>
    <row r="977" spans="1:14">
      <c r="A977" t="s">
        <v>3541</v>
      </c>
      <c r="B977" s="5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5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5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5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4296</v>
      </c>
      <c r="M980" t="s">
        <v>76</v>
      </c>
      <c r="N980">
        <v>429.96</v>
      </c>
    </row>
    <row r="981" spans="1:14">
      <c r="A981" t="s">
        <v>3554</v>
      </c>
      <c r="B981" s="5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5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5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5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5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5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5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5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5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5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5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5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5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>
      <c r="A994" t="s">
        <v>3598</v>
      </c>
      <c r="B994" s="5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5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>
      <c r="A996" t="s">
        <v>3605</v>
      </c>
      <c r="B996" s="5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5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5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5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5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5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5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5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4296</v>
      </c>
      <c r="M1003" t="s">
        <v>29</v>
      </c>
      <c r="N1003">
        <v>507.36</v>
      </c>
    </row>
    <row r="1004" spans="1:14">
      <c r="A1004" t="s">
        <v>3630</v>
      </c>
      <c r="B1004" s="5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5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5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5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4296</v>
      </c>
      <c r="M1007" t="s">
        <v>76</v>
      </c>
      <c r="N1007">
        <v>1178.55</v>
      </c>
    </row>
    <row r="1008" spans="1:14">
      <c r="A1008" t="s">
        <v>3642</v>
      </c>
      <c r="B1008" s="5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5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5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5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5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5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4296</v>
      </c>
      <c r="M1013" t="s">
        <v>76</v>
      </c>
      <c r="N1013">
        <v>956.72</v>
      </c>
    </row>
    <row r="1014" spans="1:14">
      <c r="A1014" t="s">
        <v>3659</v>
      </c>
      <c r="B1014" s="5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4296</v>
      </c>
      <c r="M1014" t="s">
        <v>45</v>
      </c>
      <c r="N1014">
        <v>120.2</v>
      </c>
    </row>
    <row r="1015" spans="1:14">
      <c r="A1015" t="s">
        <v>3662</v>
      </c>
      <c r="B1015" s="5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5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5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5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5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5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4296</v>
      </c>
      <c r="M1020" t="s">
        <v>22</v>
      </c>
      <c r="N1020">
        <v>547.44000000000005</v>
      </c>
    </row>
    <row r="1021" spans="1:14">
      <c r="A1021" t="s">
        <v>3683</v>
      </c>
      <c r="B1021" s="5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5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5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5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5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4296</v>
      </c>
      <c r="M1025" t="s">
        <v>29</v>
      </c>
      <c r="N1025">
        <v>1168.3499999999999</v>
      </c>
    </row>
    <row r="1026" spans="1:14">
      <c r="A1026" t="s">
        <v>3698</v>
      </c>
      <c r="B1026" s="5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5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5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5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4296</v>
      </c>
      <c r="M1029" t="s">
        <v>76</v>
      </c>
      <c r="N1029">
        <v>2219.3200000000002</v>
      </c>
    </row>
    <row r="1030" spans="1:14">
      <c r="A1030" t="s">
        <v>3710</v>
      </c>
      <c r="B1030" s="5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4296</v>
      </c>
      <c r="M1030" t="s">
        <v>22</v>
      </c>
      <c r="N1030">
        <v>1761.24</v>
      </c>
    </row>
    <row r="1031" spans="1:14">
      <c r="A1031" t="s">
        <v>3713</v>
      </c>
      <c r="B1031" s="5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5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5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5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5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5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5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4296</v>
      </c>
      <c r="M1037" t="s">
        <v>29</v>
      </c>
      <c r="N1037">
        <v>2024.44</v>
      </c>
    </row>
    <row r="1038" spans="1:14">
      <c r="A1038" t="s">
        <v>3739</v>
      </c>
      <c r="B1038" s="5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5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5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4296</v>
      </c>
      <c r="M1040" t="s">
        <v>45</v>
      </c>
      <c r="N1040">
        <v>1087.5899999999999</v>
      </c>
    </row>
    <row r="1041" spans="1:14">
      <c r="A1041" t="s">
        <v>3749</v>
      </c>
      <c r="B1041" s="5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5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5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5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5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4296</v>
      </c>
      <c r="M1045" t="s">
        <v>22</v>
      </c>
      <c r="N1045">
        <v>359.92</v>
      </c>
    </row>
    <row r="1046" spans="1:14">
      <c r="A1046" t="s">
        <v>3765</v>
      </c>
      <c r="B1046" s="5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5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4296</v>
      </c>
      <c r="M1047" t="s">
        <v>38</v>
      </c>
      <c r="N1047">
        <v>1582</v>
      </c>
    </row>
    <row r="1048" spans="1:14">
      <c r="A1048" t="s">
        <v>3773</v>
      </c>
      <c r="B1048" s="5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5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5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4296</v>
      </c>
      <c r="M1050" t="s">
        <v>76</v>
      </c>
      <c r="N1050">
        <v>294.60000000000002</v>
      </c>
    </row>
    <row r="1051" spans="1:14">
      <c r="A1051" t="s">
        <v>3785</v>
      </c>
      <c r="B1051" s="5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4296</v>
      </c>
      <c r="M1051" t="s">
        <v>22</v>
      </c>
      <c r="N1051">
        <v>1959.3</v>
      </c>
    </row>
    <row r="1052" spans="1:14">
      <c r="A1052" t="s">
        <v>3788</v>
      </c>
      <c r="B1052" s="5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4296</v>
      </c>
      <c r="M1052" t="s">
        <v>22</v>
      </c>
      <c r="N1052">
        <v>348.5</v>
      </c>
    </row>
    <row r="1053" spans="1:14">
      <c r="A1053" t="s">
        <v>3791</v>
      </c>
      <c r="B1053" s="5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5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5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5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5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5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5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5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5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5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5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5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4296</v>
      </c>
      <c r="M1064" t="s">
        <v>45</v>
      </c>
      <c r="N1064">
        <v>427.6</v>
      </c>
    </row>
    <row r="1065" spans="1:14">
      <c r="A1065" t="s">
        <v>3830</v>
      </c>
      <c r="B1065" s="5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5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5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5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5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4296</v>
      </c>
      <c r="M1069" t="s">
        <v>22</v>
      </c>
      <c r="N1069">
        <v>632.4</v>
      </c>
    </row>
    <row r="1070" spans="1:14">
      <c r="A1070" t="s">
        <v>3845</v>
      </c>
      <c r="B1070" s="5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5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4296</v>
      </c>
      <c r="M1071" t="s">
        <v>45</v>
      </c>
      <c r="N1071">
        <v>454.23</v>
      </c>
    </row>
    <row r="1072" spans="1:14">
      <c r="A1072" t="s">
        <v>3852</v>
      </c>
      <c r="B1072" s="5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4296</v>
      </c>
      <c r="M1072" t="s">
        <v>38</v>
      </c>
      <c r="N1072">
        <v>1965.16</v>
      </c>
    </row>
    <row r="1073" spans="1:14">
      <c r="A1073" t="s">
        <v>3855</v>
      </c>
      <c r="B1073" s="5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4296</v>
      </c>
      <c r="M1073" t="s">
        <v>76</v>
      </c>
      <c r="N1073">
        <v>510.28</v>
      </c>
    </row>
    <row r="1074" spans="1:14">
      <c r="A1074" t="s">
        <v>3858</v>
      </c>
      <c r="B1074" s="5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5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4296</v>
      </c>
      <c r="M1075" t="s">
        <v>45</v>
      </c>
      <c r="N1075">
        <v>1448.24</v>
      </c>
    </row>
    <row r="1076" spans="1:14">
      <c r="A1076" t="s">
        <v>3864</v>
      </c>
      <c r="B1076" s="5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4296</v>
      </c>
      <c r="M1076" t="s">
        <v>76</v>
      </c>
      <c r="N1076">
        <v>222.73</v>
      </c>
    </row>
    <row r="1077" spans="1:14">
      <c r="A1077" t="s">
        <v>3868</v>
      </c>
      <c r="B1077" s="5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5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4296</v>
      </c>
      <c r="M1078" t="s">
        <v>29</v>
      </c>
      <c r="N1078">
        <v>2746.44</v>
      </c>
    </row>
    <row r="1079" spans="1:14">
      <c r="A1079" t="s">
        <v>3874</v>
      </c>
      <c r="B1079" s="5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5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5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4296</v>
      </c>
      <c r="M1081" t="s">
        <v>38</v>
      </c>
      <c r="N1081">
        <v>3170</v>
      </c>
    </row>
    <row r="1082" spans="1:14">
      <c r="A1082" t="s">
        <v>3883</v>
      </c>
      <c r="B1082" s="5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4296</v>
      </c>
      <c r="M1082" t="s">
        <v>29</v>
      </c>
      <c r="N1082">
        <v>2323.6999999999998</v>
      </c>
    </row>
    <row r="1083" spans="1:14">
      <c r="A1083" t="s">
        <v>3887</v>
      </c>
      <c r="B1083" s="5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5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5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5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5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5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5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5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5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4296</v>
      </c>
      <c r="M1091" t="s">
        <v>22</v>
      </c>
      <c r="N1091">
        <v>1199.48</v>
      </c>
    </row>
    <row r="1092" spans="1:14">
      <c r="A1092" t="s">
        <v>3917</v>
      </c>
      <c r="B1092" s="5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4296</v>
      </c>
      <c r="M1092" t="s">
        <v>22</v>
      </c>
      <c r="N1092">
        <v>1300.5</v>
      </c>
    </row>
    <row r="1093" spans="1:14">
      <c r="A1093" t="s">
        <v>3920</v>
      </c>
      <c r="B1093" s="5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4296</v>
      </c>
      <c r="M1093" t="s">
        <v>38</v>
      </c>
      <c r="N1093">
        <v>628.44000000000005</v>
      </c>
    </row>
    <row r="1094" spans="1:14">
      <c r="A1094" t="s">
        <v>3923</v>
      </c>
      <c r="B1094" s="5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5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5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5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5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4296</v>
      </c>
      <c r="M1098" t="s">
        <v>45</v>
      </c>
      <c r="N1098">
        <v>929.84</v>
      </c>
    </row>
    <row r="1099" spans="1:14">
      <c r="A1099" t="s">
        <v>3942</v>
      </c>
      <c r="B1099" s="5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5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4296</v>
      </c>
      <c r="M1100" t="s">
        <v>38</v>
      </c>
      <c r="N1100">
        <v>1023.44</v>
      </c>
    </row>
    <row r="1101" spans="1:14">
      <c r="A1101" t="s">
        <v>3950</v>
      </c>
      <c r="B1101" s="5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5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5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5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4296</v>
      </c>
      <c r="M1104" t="s">
        <v>22</v>
      </c>
      <c r="N1104">
        <v>1388.68</v>
      </c>
    </row>
    <row r="1105" spans="1:14">
      <c r="A1105" t="s">
        <v>3962</v>
      </c>
      <c r="B1105" s="5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4296</v>
      </c>
      <c r="M1105" t="s">
        <v>76</v>
      </c>
      <c r="N1105">
        <v>1105.28</v>
      </c>
    </row>
    <row r="1106" spans="1:14">
      <c r="A1106" t="s">
        <v>3965</v>
      </c>
      <c r="B1106" s="5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4296</v>
      </c>
      <c r="M1106" t="s">
        <v>22</v>
      </c>
      <c r="N1106">
        <v>1259.04</v>
      </c>
    </row>
    <row r="1107" spans="1:14">
      <c r="A1107" t="s">
        <v>3969</v>
      </c>
      <c r="B1107" s="5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5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5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5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5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5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5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5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5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4296</v>
      </c>
      <c r="M1115" t="s">
        <v>76</v>
      </c>
      <c r="N1115">
        <v>839.96</v>
      </c>
    </row>
    <row r="1116" spans="1:14">
      <c r="A1116" t="s">
        <v>3998</v>
      </c>
      <c r="B1116" s="5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4296</v>
      </c>
      <c r="M1116" t="s">
        <v>76</v>
      </c>
      <c r="N1116">
        <v>1979.64</v>
      </c>
    </row>
    <row r="1117" spans="1:14">
      <c r="A1117" t="s">
        <v>4001</v>
      </c>
      <c r="B1117" s="5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4296</v>
      </c>
      <c r="M1117" t="s">
        <v>76</v>
      </c>
      <c r="N1117">
        <v>672.64</v>
      </c>
    </row>
    <row r="1118" spans="1:14">
      <c r="A1118" t="s">
        <v>4004</v>
      </c>
      <c r="B1118" s="5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5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5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4296</v>
      </c>
      <c r="M1120" t="s">
        <v>38</v>
      </c>
      <c r="N1120">
        <v>754.44</v>
      </c>
    </row>
    <row r="1121" spans="1:14">
      <c r="A1121" t="s">
        <v>4013</v>
      </c>
      <c r="B1121" s="5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5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4296</v>
      </c>
      <c r="M1122" t="s">
        <v>45</v>
      </c>
      <c r="N1122">
        <v>195.86</v>
      </c>
    </row>
    <row r="1123" spans="1:14">
      <c r="A1123" t="s">
        <v>4019</v>
      </c>
      <c r="B1123" s="5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5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4296</v>
      </c>
      <c r="M1124" t="s">
        <v>45</v>
      </c>
      <c r="N1124">
        <v>3390.95</v>
      </c>
    </row>
    <row r="1125" spans="1:14">
      <c r="A1125" t="s">
        <v>4024</v>
      </c>
      <c r="B1125" s="5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5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4296</v>
      </c>
      <c r="M1126" t="s">
        <v>22</v>
      </c>
      <c r="N1126">
        <v>2307.48</v>
      </c>
    </row>
    <row r="1127" spans="1:14">
      <c r="A1127" t="s">
        <v>4032</v>
      </c>
      <c r="B1127" s="5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5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>
      <c r="A1129" t="s">
        <v>4039</v>
      </c>
      <c r="B1129" s="5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5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5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5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5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5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5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5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5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5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5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5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4296</v>
      </c>
      <c r="M1140" t="s">
        <v>22</v>
      </c>
      <c r="N1140">
        <v>1177.6400000000001</v>
      </c>
    </row>
    <row r="1141" spans="1:14">
      <c r="A1141" t="s">
        <v>4077</v>
      </c>
      <c r="B1141" s="5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5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4296</v>
      </c>
      <c r="M1142" t="s">
        <v>29</v>
      </c>
      <c r="N1142">
        <v>1105.6600000000001</v>
      </c>
    </row>
    <row r="1143" spans="1:14">
      <c r="A1143" t="s">
        <v>4082</v>
      </c>
      <c r="B1143" s="5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4296</v>
      </c>
      <c r="M1143" t="s">
        <v>38</v>
      </c>
      <c r="N1143">
        <v>1495.98</v>
      </c>
    </row>
    <row r="1144" spans="1:14">
      <c r="A1144" t="s">
        <v>4085</v>
      </c>
      <c r="B1144" s="5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4296</v>
      </c>
      <c r="M1144" t="s">
        <v>38</v>
      </c>
      <c r="N1144">
        <v>2780.4</v>
      </c>
    </row>
    <row r="1145" spans="1:14">
      <c r="A1145" t="s">
        <v>4089</v>
      </c>
      <c r="B1145" s="5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4296</v>
      </c>
      <c r="M1145" t="s">
        <v>38</v>
      </c>
      <c r="N1145">
        <v>381.61</v>
      </c>
    </row>
    <row r="1146" spans="1:14">
      <c r="A1146" t="s">
        <v>4093</v>
      </c>
      <c r="B1146" s="5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4296</v>
      </c>
      <c r="M1146" t="s">
        <v>45</v>
      </c>
      <c r="N1146">
        <v>2539.6999999999998</v>
      </c>
    </row>
    <row r="1147" spans="1:14">
      <c r="A1147" t="s">
        <v>4097</v>
      </c>
      <c r="B1147" s="5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5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5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5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5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5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5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4296</v>
      </c>
      <c r="M1153" t="s">
        <v>76</v>
      </c>
      <c r="N1153">
        <v>1216.08</v>
      </c>
    </row>
    <row r="1154" spans="1:14">
      <c r="A1154" t="s">
        <v>4122</v>
      </c>
      <c r="B1154" s="5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4296</v>
      </c>
      <c r="M1154" t="s">
        <v>29</v>
      </c>
      <c r="N1154">
        <v>688.36</v>
      </c>
    </row>
    <row r="1155" spans="1:14">
      <c r="A1155" t="s">
        <v>4125</v>
      </c>
      <c r="B1155" s="5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4296</v>
      </c>
      <c r="M1155" t="s">
        <v>22</v>
      </c>
      <c r="N1155">
        <v>2786.84</v>
      </c>
    </row>
    <row r="1156" spans="1:14">
      <c r="A1156" t="s">
        <v>4129</v>
      </c>
      <c r="B1156" s="5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5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5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4296</v>
      </c>
      <c r="M1158" t="s">
        <v>29</v>
      </c>
      <c r="N1158">
        <v>2763.12</v>
      </c>
    </row>
    <row r="1159" spans="1:14">
      <c r="A1159" t="s">
        <v>4138</v>
      </c>
      <c r="B1159" s="5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>
      <c r="A1160" t="s">
        <v>4141</v>
      </c>
      <c r="B1160" s="5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5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4296</v>
      </c>
      <c r="M1161" t="s">
        <v>22</v>
      </c>
      <c r="N1161">
        <v>1866.8</v>
      </c>
    </row>
    <row r="1162" spans="1:14">
      <c r="A1162" t="s">
        <v>4147</v>
      </c>
      <c r="B1162" s="5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5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5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5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>
      <c r="A1166" t="s">
        <v>4161</v>
      </c>
      <c r="B1166" s="5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5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4296</v>
      </c>
      <c r="M1167" t="s">
        <v>76</v>
      </c>
      <c r="N1167">
        <v>671.37</v>
      </c>
    </row>
    <row r="1168" spans="1:14">
      <c r="A1168" t="s">
        <v>4168</v>
      </c>
      <c r="B1168" s="5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>
      <c r="A1169" t="s">
        <v>4171</v>
      </c>
      <c r="B1169" s="5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5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5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5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5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5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4296</v>
      </c>
      <c r="M1174" t="s">
        <v>22</v>
      </c>
      <c r="N1174">
        <v>395.88</v>
      </c>
    </row>
    <row r="1175" spans="1:14">
      <c r="A1175" t="s">
        <v>4192</v>
      </c>
      <c r="B1175" s="5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5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5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5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5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5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5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5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5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5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5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5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4296</v>
      </c>
      <c r="M1186" t="s">
        <v>76</v>
      </c>
      <c r="N1186">
        <v>204.08</v>
      </c>
    </row>
    <row r="1187" spans="1:14">
      <c r="A1187" t="s">
        <v>4230</v>
      </c>
      <c r="B1187" s="5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5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5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5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5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4296</v>
      </c>
      <c r="M1191" t="s">
        <v>29</v>
      </c>
      <c r="N1191">
        <v>1946.1</v>
      </c>
    </row>
    <row r="1192" spans="1:14">
      <c r="A1192" t="s">
        <v>4249</v>
      </c>
      <c r="B1192" s="5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5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5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4296</v>
      </c>
      <c r="M1194" t="s">
        <v>22</v>
      </c>
      <c r="N1194">
        <v>1298.55</v>
      </c>
    </row>
    <row r="1195" spans="1:14">
      <c r="A1195" t="s">
        <v>4259</v>
      </c>
      <c r="B1195" s="5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5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>
      <c r="A1197" t="s">
        <v>4265</v>
      </c>
      <c r="B1197" s="5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5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4296</v>
      </c>
      <c r="M1198" t="s">
        <v>45</v>
      </c>
      <c r="N1198">
        <v>1325.06</v>
      </c>
    </row>
    <row r="1199" spans="1:14">
      <c r="A1199" t="s">
        <v>4272</v>
      </c>
      <c r="B1199" s="5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5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5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conditionalFormatting sqref="A1:A1048576">
    <cfRule type="duplicateValues" dxfId="3" priority="2"/>
  </conditionalFormatting>
  <conditionalFormatting sqref="A2:A1201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7EEB-8D01-495E-8902-C019D059669B}">
  <dimension ref="A1:D6"/>
  <sheetViews>
    <sheetView tabSelected="1" workbookViewId="0">
      <selection activeCell="D6" sqref="D6"/>
    </sheetView>
  </sheetViews>
  <sheetFormatPr defaultRowHeight="15.75"/>
  <cols>
    <col min="1" max="1" width="8.375" bestFit="1" customWidth="1"/>
    <col min="2" max="2" width="50.375" bestFit="1" customWidth="1"/>
    <col min="3" max="3" width="45.375" bestFit="1" customWidth="1"/>
  </cols>
  <sheetData>
    <row r="1" spans="1:4">
      <c r="A1" s="7" t="s">
        <v>4297</v>
      </c>
      <c r="B1" t="s">
        <v>4298</v>
      </c>
      <c r="C1" t="s">
        <v>4299</v>
      </c>
      <c r="D1" t="s">
        <v>4290</v>
      </c>
    </row>
    <row r="2" spans="1:4">
      <c r="A2" t="s">
        <v>4300</v>
      </c>
      <c r="B2" t="s">
        <v>4301</v>
      </c>
      <c r="C2" t="s">
        <v>4302</v>
      </c>
      <c r="D2" t="s">
        <v>4303</v>
      </c>
    </row>
    <row r="3" spans="1:4">
      <c r="A3" t="s">
        <v>4304</v>
      </c>
      <c r="B3" s="8" t="s">
        <v>4305</v>
      </c>
      <c r="C3" t="s">
        <v>4306</v>
      </c>
      <c r="D3" t="s">
        <v>4303</v>
      </c>
    </row>
    <row r="4" spans="1:4">
      <c r="A4" t="s">
        <v>4307</v>
      </c>
      <c r="B4" t="s">
        <v>4308</v>
      </c>
      <c r="C4" t="s">
        <v>4309</v>
      </c>
      <c r="D4" t="s">
        <v>4310</v>
      </c>
    </row>
    <row r="5" spans="1:4">
      <c r="A5" t="s">
        <v>4311</v>
      </c>
      <c r="B5" t="s">
        <v>4312</v>
      </c>
      <c r="C5" t="s">
        <v>4313</v>
      </c>
      <c r="D5" t="s">
        <v>4310</v>
      </c>
    </row>
    <row r="6" spans="1:4">
      <c r="A6" t="s">
        <v>4314</v>
      </c>
      <c r="B6" t="s">
        <v>4315</v>
      </c>
      <c r="C6" t="s">
        <v>4316</v>
      </c>
      <c r="D6" t="s">
        <v>4310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D890-00C5-4812-B1A7-BEEFAF0FE975}">
  <dimension ref="A1:H9"/>
  <sheetViews>
    <sheetView workbookViewId="0">
      <selection activeCell="H1" sqref="H1"/>
    </sheetView>
  </sheetViews>
  <sheetFormatPr defaultRowHeight="15.75"/>
  <cols>
    <col min="1" max="1" width="19.875" bestFit="1" customWidth="1"/>
    <col min="2" max="2" width="12.625" bestFit="1" customWidth="1"/>
    <col min="4" max="4" width="8.875" bestFit="1" customWidth="1"/>
  </cols>
  <sheetData>
    <row r="1" spans="1:8">
      <c r="A1" s="1" t="s">
        <v>4283</v>
      </c>
      <c r="B1" s="1" t="s">
        <v>4284</v>
      </c>
      <c r="C1" s="3"/>
      <c r="D1" s="1" t="s">
        <v>4290</v>
      </c>
      <c r="E1" s="1" t="s">
        <v>4291</v>
      </c>
      <c r="G1" s="1" t="s">
        <v>4292</v>
      </c>
      <c r="H1" s="1" t="s">
        <v>4291</v>
      </c>
    </row>
    <row r="2" spans="1:8">
      <c r="A2" s="1" t="s">
        <v>4285</v>
      </c>
      <c r="B2" s="1">
        <f>COUNTA('Dataset for Data Analytics'!A2:A1201)</f>
        <v>1200</v>
      </c>
      <c r="C2" s="3"/>
      <c r="D2" s="1" t="s">
        <v>50</v>
      </c>
      <c r="E2" s="1">
        <f>COUNTIF('Dataset for Data Analytics'!I2:I1201,"Delivered")</f>
        <v>231</v>
      </c>
      <c r="G2" s="1" t="s">
        <v>22</v>
      </c>
      <c r="H2" s="1">
        <f>COUNTIF('Dataset for Data Analytics'!M2:M1201,"Instagram")</f>
        <v>259</v>
      </c>
    </row>
    <row r="3" spans="1:8">
      <c r="A3" s="1" t="s">
        <v>4286</v>
      </c>
      <c r="B3" s="2">
        <f>SUM('Dataset for Data Analytics'!N2:N1201)</f>
        <v>1264761.9600000004</v>
      </c>
      <c r="C3" s="4"/>
      <c r="D3" s="1" t="s">
        <v>19</v>
      </c>
      <c r="E3" s="1">
        <f>COUNTIF('Dataset for Data Analytics'!I2:I1201,"Shipped")</f>
        <v>235</v>
      </c>
      <c r="G3" s="1" t="s">
        <v>45</v>
      </c>
      <c r="H3" s="1">
        <f>COUNTIF('Dataset for Data Analytics'!M:M,"Facebook")</f>
        <v>228</v>
      </c>
    </row>
    <row r="4" spans="1:8">
      <c r="A4" s="1" t="s">
        <v>4287</v>
      </c>
      <c r="B4" s="1">
        <f>AVERAGE('Dataset for Data Analytics'!N2:N1201)</f>
        <v>1053.9683000000005</v>
      </c>
      <c r="C4" s="3"/>
      <c r="D4" s="1" t="s">
        <v>89</v>
      </c>
      <c r="E4" s="1">
        <f>COUNTIF('Dataset for Data Analytics'!I2:I1201,"Pending")</f>
        <v>237</v>
      </c>
      <c r="G4" s="1" t="s">
        <v>76</v>
      </c>
      <c r="H4" s="1">
        <f>COUNTIF('Dataset for Data Analytics'!M2:M1201,"Google")</f>
        <v>241</v>
      </c>
    </row>
    <row r="5" spans="1:8">
      <c r="A5" s="1" t="s">
        <v>4288</v>
      </c>
      <c r="B5" s="1">
        <f>MAX('Dataset for Data Analytics'!N2:N1201)</f>
        <v>3456.4</v>
      </c>
      <c r="C5" s="3"/>
      <c r="D5" s="1" t="s">
        <v>35</v>
      </c>
      <c r="E5" s="1">
        <f>COUNTIF('Dataset for Data Analytics'!I2:I1201,"Cancelled")</f>
        <v>250</v>
      </c>
      <c r="G5" s="1" t="s">
        <v>38</v>
      </c>
      <c r="H5" s="1">
        <f>COUNTIF('Dataset for Data Analytics'!M2:M1201,"Email")</f>
        <v>250</v>
      </c>
    </row>
    <row r="6" spans="1:8">
      <c r="A6" s="1" t="s">
        <v>4289</v>
      </c>
      <c r="B6" s="1">
        <f>MIN('Dataset for Data Analytics'!N2:N1201)</f>
        <v>11.39</v>
      </c>
      <c r="C6" s="3"/>
      <c r="D6" s="1" t="s">
        <v>43</v>
      </c>
      <c r="E6" s="1">
        <f>COUNTIF('Dataset for Data Analytics'!I2:I1201,"Returned")</f>
        <v>247</v>
      </c>
      <c r="G6" s="1" t="s">
        <v>29</v>
      </c>
      <c r="H6" s="1">
        <f>COUNTIF('Dataset for Data Analytics'!M:M,"Referral")</f>
        <v>222</v>
      </c>
    </row>
    <row r="7" spans="1:8">
      <c r="A7" s="1" t="s">
        <v>4293</v>
      </c>
      <c r="B7" s="1">
        <f>COUNTA('Dataset for Data Analytics'!L2:L1001)</f>
        <v>1000</v>
      </c>
    </row>
    <row r="8" spans="1:8">
      <c r="A8" s="1" t="s">
        <v>4294</v>
      </c>
      <c r="B8" s="1">
        <f>COUNTBLANK('Dataset for Data Analytics'!L2:L1001)</f>
        <v>0</v>
      </c>
    </row>
    <row r="9" spans="1:8">
      <c r="A9" s="1" t="s">
        <v>4295</v>
      </c>
      <c r="B9" s="1" t="str" cm="1">
        <f t="array" ref="B9">INDEX('Dataset for Data Analytics'!L2:L1001,MATCH(MAX(COUNTIF('Dataset for Data Analytics'!L2:L1001,'Dataset for Data Analytics'!L2:L1001)),COUNTIF('Dataset for Data Analytics'!L2:L1001,'Dataset for Data Analytics'!L2:L1001),0))</f>
        <v>FREESHIP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for Data Analytics</vt:lpstr>
      <vt:lpstr>Change Log</vt:lpstr>
      <vt:lpstr>Summary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connect</dc:creator>
  <cp:lastModifiedBy>ezekiel connect</cp:lastModifiedBy>
  <dcterms:created xsi:type="dcterms:W3CDTF">2026-07-10T06:07:00Z</dcterms:created>
  <dcterms:modified xsi:type="dcterms:W3CDTF">2026-07-11T14:47:16Z</dcterms:modified>
</cp:coreProperties>
</file>